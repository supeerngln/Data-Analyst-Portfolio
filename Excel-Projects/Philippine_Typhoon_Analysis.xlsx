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4F59\EXCELCNV\40915b21-b23c-44fe-8e5a-dc0a5a118523\"/>
    </mc:Choice>
  </mc:AlternateContent>
  <xr:revisionPtr revIDLastSave="918" documentId="8_{3C73FDD5-1E35-4D2C-B871-A5F718E01BEB}" xr6:coauthVersionLast="47" xr6:coauthVersionMax="47" xr10:uidLastSave="{F81007A1-956E-4631-BB55-A2AE407E6D93}"/>
  <bookViews>
    <workbookView xWindow="-60" yWindow="-60" windowWidth="15480" windowHeight="11640" activeTab="2" xr2:uid="{6F38565D-4CC6-4027-98B8-2351A3BEE43A}"/>
  </bookViews>
  <sheets>
    <sheet name="data" sheetId="1" r:id="rId1"/>
    <sheet name="pivot" sheetId="3" r:id="rId2"/>
    <sheet name="dashboard" sheetId="4" r:id="rId3"/>
  </sheets>
  <definedNames>
    <definedName name="Slicer_Fixed_Month">#N/A</definedName>
    <definedName name="Slicer_ONI_Category">#N/A</definedName>
    <definedName name="Slicer_Year">#N/A</definedName>
  </definedNames>
  <calcPr calcId="191028"/>
  <pivotCaches>
    <pivotCache cacheId="14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2" i="1"/>
</calcChain>
</file>

<file path=xl/sharedStrings.xml><?xml version="1.0" encoding="utf-8"?>
<sst xmlns="http://schemas.openxmlformats.org/spreadsheetml/2006/main" count="30" uniqueCount="23">
  <si>
    <t>Year</t>
  </si>
  <si>
    <t>Fixed_Date_Format</t>
  </si>
  <si>
    <t>Month</t>
  </si>
  <si>
    <t>Fixed_Month</t>
  </si>
  <si>
    <t>Number_of_Typhoons</t>
  </si>
  <si>
    <t>ONI</t>
  </si>
  <si>
    <t>ONI_Category</t>
  </si>
  <si>
    <t>Nino3.4_SST_anomaly</t>
  </si>
  <si>
    <t>Western_Pacific_SST</t>
  </si>
  <si>
    <t>Correl_SST_TyphoonNum</t>
  </si>
  <si>
    <t>Vertical_Wind_Shear</t>
  </si>
  <si>
    <t>Midlevel_Humidity</t>
  </si>
  <si>
    <t>SeaLevelPressure</t>
  </si>
  <si>
    <t>MJO_Phase</t>
  </si>
  <si>
    <t>Prev_month_typhoons</t>
  </si>
  <si>
    <t>Sum of Number_of_Typhoons</t>
  </si>
  <si>
    <t>Grand Total</t>
  </si>
  <si>
    <t>Average of Number_of_Typhoons</t>
  </si>
  <si>
    <t>La Niña</t>
  </si>
  <si>
    <t>Average of Midlevel_Humidity</t>
  </si>
  <si>
    <t>Average of SeaLevelPressure</t>
  </si>
  <si>
    <t>Philippine Typhoon Risk Analysis:</t>
  </si>
  <si>
    <t>Atmospheric Drivers &amp; Climate Correlations (2014–2024)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</si>
</sst>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2F75B5"/>
      <name val="Calibri"/>
      <charset val="1"/>
    </font>
    <font>
      <sz val="11"/>
      <color theme="8" tint="-0.249977111117893"/>
      <name val="Calibri"/>
      <family val="2"/>
      <scheme val="minor"/>
    </font>
    <font>
      <b/>
      <sz val="16"/>
      <color rgb="FF2F75B5"/>
      <name val="Calibri"/>
      <charset val="1"/>
    </font>
    <font>
      <b/>
      <sz val="18"/>
      <color rgb="FF2F75B5"/>
      <name val="Calibri"/>
      <charset val="1"/>
    </font>
    <font>
      <b/>
      <sz val="14"/>
      <color rgb="FF92D05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18" fillId="33" borderId="0" xfId="0" applyFont="1" applyFill="1" applyBorder="1" applyAlignment="1"/>
    <xf numFmtId="0" fontId="0" fillId="33" borderId="0" xfId="0" applyFill="1" applyBorder="1" applyAlignment="1"/>
    <xf numFmtId="0" fontId="0" fillId="33" borderId="0" xfId="0" applyFill="1" applyAlignment="1"/>
    <xf numFmtId="0" fontId="0" fillId="33" borderId="0" xfId="0" applyFill="1"/>
    <xf numFmtId="0" fontId="19" fillId="33" borderId="0" xfId="0" applyFont="1" applyFill="1" applyBorder="1" applyAlignment="1"/>
    <xf numFmtId="0" fontId="20" fillId="0" borderId="0" xfId="0" applyFont="1" applyBorder="1" applyAlignment="1"/>
    <xf numFmtId="0" fontId="21" fillId="33" borderId="0" xfId="0" applyFont="1" applyFill="1" applyBorder="1" applyAlignment="1">
      <alignment horizontal="left"/>
    </xf>
    <xf numFmtId="0" fontId="22" fillId="33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[philippines_typhoon_monthly_2014_2024 1.xlsx]pivot!PivotTable1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Microsoft YaHei"/>
                <a:ea typeface="Microsoft YaHei"/>
                <a:cs typeface="Microsoft YaHei"/>
              </a:defRPr>
            </a:pPr>
            <a:r>
              <a:rPr lang="en-US"/>
              <a:t>Number of Typhoons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Microsoft YaHei"/>
              <a:ea typeface="Microsoft YaHei"/>
              <a:cs typeface="Microsoft YaHe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cat>
            <c:strRef>
              <c:f>pivot!$A$2:$A$3</c:f>
              <c:strCache>
                <c:ptCount val="1"/>
                <c:pt idx="0">
                  <c:v>7</c:v>
                </c:pt>
              </c:strCache>
            </c:strRef>
          </c:cat>
          <c:val>
            <c:numRef>
              <c:f>pivot!$B$2:$B$3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B-4DAE-BC05-BB0E2E435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1822312967"/>
        <c:axId val="1822340615"/>
      </c:barChart>
      <c:catAx>
        <c:axId val="18223129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33F4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33F4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340615"/>
        <c:crosses val="autoZero"/>
        <c:auto val="1"/>
        <c:lblAlgn val="ctr"/>
        <c:lblOffset val="100"/>
        <c:noMultiLvlLbl val="0"/>
      </c:catAx>
      <c:valAx>
        <c:axId val="1822340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33F4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Typhoons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33F4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312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9E1F2"/>
    </a:solidFill>
    <a:ln w="9525" cap="flat" cmpd="sng" algn="ctr">
      <a:solidFill>
        <a:srgbClr val="BFBF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[philippines_typhoon_monthly_2014_2024 1.xlsx]pivot!PivotTable4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Microsoft YaHei"/>
                <a:ea typeface="Microsoft YaHei"/>
                <a:cs typeface="Microsoft YaHei"/>
              </a:defRPr>
            </a:pPr>
            <a:r>
              <a:rPr lang="en-US"/>
              <a:t>Number of Typhoons by ONI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Microsoft YaHei"/>
              <a:ea typeface="Microsoft YaHei"/>
              <a:cs typeface="Microsoft YaHe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EAA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472C4"/>
          </a:solidFill>
          <a:ln>
            <a:solidFill>
              <a:srgbClr val="0070BF"/>
            </a:solidFill>
            <a:prstDash val="solid"/>
          </a:ln>
          <a:effectLst/>
        </c:spPr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AEAA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472C4"/>
          </a:solidFill>
          <a:ln>
            <a:solidFill>
              <a:srgbClr val="0070BF"/>
            </a:solidFill>
            <a:prstDash val="solid"/>
          </a:ln>
          <a:effectLst/>
        </c:spPr>
      </c:pivotFmt>
      <c:pivotFmt>
        <c:idx val="5"/>
        <c:spPr>
          <a:solidFill>
            <a:srgbClr val="ED7D31"/>
          </a:solidFill>
          <a:ln>
            <a:noFill/>
          </a:ln>
          <a:effectLst/>
        </c:spPr>
      </c:pivotFmt>
      <c:pivotFmt>
        <c:idx val="6"/>
        <c:spPr>
          <a:solidFill>
            <a:srgbClr val="AEAA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472C4"/>
          </a:solidFill>
          <a:ln>
            <a:solidFill>
              <a:srgbClr val="0070BF"/>
            </a:solidFill>
            <a:prstDash val="solid"/>
          </a:ln>
          <a:effectLst/>
        </c:spPr>
      </c:pivotFmt>
      <c:pivotFmt>
        <c:idx val="8"/>
        <c:spPr>
          <a:solidFill>
            <a:srgbClr val="ED7D31"/>
          </a:solidFill>
          <a:ln>
            <a:noFill/>
          </a:ln>
          <a:effectLst/>
        </c:spPr>
      </c:pivotFmt>
      <c:pivotFmt>
        <c:idx val="9"/>
        <c:spPr>
          <a:solidFill>
            <a:srgbClr val="AEAA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4472C4"/>
          </a:solidFill>
          <a:ln>
            <a:solidFill>
              <a:srgbClr val="0070BF"/>
            </a:solidFill>
            <a:prstDash val="solid"/>
          </a:ln>
          <a:effectLst/>
        </c:spPr>
      </c:pivotFmt>
      <c:pivotFmt>
        <c:idx val="11"/>
        <c:spPr>
          <a:solidFill>
            <a:srgbClr val="ED7D31"/>
          </a:solidFill>
          <a:ln>
            <a:noFill/>
          </a:ln>
          <a:effectLst/>
        </c:spPr>
      </c:pivotFmt>
      <c:pivotFmt>
        <c:idx val="12"/>
        <c:spPr>
          <a:solidFill>
            <a:srgbClr val="AEAA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>
            <a:solidFill>
              <a:srgbClr val="0070BF"/>
            </a:solidFill>
            <a:prstDash val="solid"/>
          </a:ln>
          <a:effectLst/>
        </c:spPr>
      </c:pivotFmt>
      <c:pivotFmt>
        <c:idx val="14"/>
        <c:spPr>
          <a:solidFill>
            <a:srgbClr val="00206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EAAA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84-4392-AAA2-42250ACCA77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A84-4392-AAA2-42250ACCA774}"/>
              </c:ext>
            </c:extLst>
          </c:dPt>
          <c:cat>
            <c:strRef>
              <c:f>pivot!$A$19:$A$20</c:f>
              <c:strCache>
                <c:ptCount val="1"/>
                <c:pt idx="0">
                  <c:v>La Niña</c:v>
                </c:pt>
              </c:strCache>
            </c:strRef>
          </c:cat>
          <c:val>
            <c:numRef>
              <c:f>pivot!$B$19:$B$20</c:f>
              <c:numCache>
                <c:formatCode>0.00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84-4392-AAA2-42250ACCA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73893127"/>
        <c:axId val="1995265031"/>
      </c:barChart>
      <c:catAx>
        <c:axId val="1973893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33F4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ONI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33F4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265031"/>
        <c:crosses val="autoZero"/>
        <c:auto val="1"/>
        <c:lblAlgn val="ctr"/>
        <c:lblOffset val="100"/>
        <c:noMultiLvlLbl val="0"/>
      </c:catAx>
      <c:valAx>
        <c:axId val="199526503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A3838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Typhoons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A383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893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9E1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[philippines_typhoon_monthly_2014_2024 1.xlsx]pivot!PivotTable5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Microsoft YaHei"/>
                <a:ea typeface="Microsoft YaHei"/>
                <a:cs typeface="Microsoft YaHei"/>
              </a:defRPr>
            </a:pPr>
            <a:r>
              <a:rPr lang="en-US"/>
              <a:t>Number of Typhoons, Midlevel Humidity and Sea Level Pressure by ONI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Microsoft YaHei"/>
              <a:ea typeface="Microsoft YaHei"/>
              <a:cs typeface="Microsoft YaHe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pivot!$B$47</c:f>
              <c:strCache>
                <c:ptCount val="1"/>
                <c:pt idx="0">
                  <c:v>Average of Number_of_Typhoons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pivot!$A$48:$A$49</c:f>
              <c:strCache>
                <c:ptCount val="1"/>
                <c:pt idx="0">
                  <c:v>La Niña</c:v>
                </c:pt>
              </c:strCache>
            </c:strRef>
          </c:cat>
          <c:val>
            <c:numRef>
              <c:f>pivot!$B$48:$B$49</c:f>
              <c:numCache>
                <c:formatCode>0.00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0-4E00-A00E-5F99C1D09883}"/>
            </c:ext>
          </c:extLst>
        </c:ser>
        <c:ser>
          <c:idx val="1"/>
          <c:order val="1"/>
          <c:tx>
            <c:strRef>
              <c:f>pivot!$C$47</c:f>
              <c:strCache>
                <c:ptCount val="1"/>
                <c:pt idx="0">
                  <c:v>Average of Midlevel_Humidity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pivot!$A$48:$A$49</c:f>
              <c:strCache>
                <c:ptCount val="1"/>
                <c:pt idx="0">
                  <c:v>La Niña</c:v>
                </c:pt>
              </c:strCache>
            </c:strRef>
          </c:cat>
          <c:val>
            <c:numRef>
              <c:f>pivot!$C$48:$C$49</c:f>
              <c:numCache>
                <c:formatCode>0.00</c:formatCode>
                <c:ptCount val="1"/>
                <c:pt idx="0">
                  <c:v>75.099999999999994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20-4E00-A00E-5F99C1D09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axId val="1727599623"/>
        <c:axId val="1727602183"/>
      </c:barChart>
      <c:lineChart>
        <c:grouping val="standard"/>
        <c:varyColors val="0"/>
        <c:ser>
          <c:idx val="2"/>
          <c:order val="2"/>
          <c:tx>
            <c:strRef>
              <c:f>pivot!$D$47</c:f>
              <c:strCache>
                <c:ptCount val="1"/>
                <c:pt idx="0">
                  <c:v>Average of SeaLevelPressure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pivot!$A$48:$A$49</c:f>
              <c:strCache>
                <c:ptCount val="1"/>
                <c:pt idx="0">
                  <c:v>La Niña</c:v>
                </c:pt>
              </c:strCache>
            </c:strRef>
          </c:cat>
          <c:val>
            <c:numRef>
              <c:f>pivot!$D$48:$D$49</c:f>
              <c:numCache>
                <c:formatCode>0.00</c:formatCode>
                <c:ptCount val="1"/>
                <c:pt idx="0">
                  <c:v>1005.7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20-4E00-A00E-5F99C1D09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2558343"/>
        <c:axId val="1812551175"/>
      </c:lineChart>
      <c:catAx>
        <c:axId val="1727599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33F4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ONI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33F4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602183"/>
        <c:crosses val="autoZero"/>
        <c:auto val="1"/>
        <c:lblAlgn val="ctr"/>
        <c:lblOffset val="100"/>
        <c:noMultiLvlLbl val="0"/>
      </c:catAx>
      <c:valAx>
        <c:axId val="17276021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333F4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Typhoon Count / Humidity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33F4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599623"/>
        <c:crosses val="autoZero"/>
        <c:crossBetween val="between"/>
      </c:valAx>
      <c:valAx>
        <c:axId val="181255117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 Level Pressure (hPa)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558343"/>
        <c:crosses val="max"/>
        <c:crossBetween val="between"/>
      </c:valAx>
      <c:catAx>
        <c:axId val="18125583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25511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E1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Microsoft YaHei"/>
                <a:ea typeface="Microsoft YaHei"/>
                <a:cs typeface="Microsoft YaHei"/>
              </a:defRPr>
            </a:pPr>
            <a:r>
              <a:rPr lang="en-US"/>
              <a:t>Inverse Correlation: Sea Level Pressure vs. Typhoon Frequency (2014-2024)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Microsoft YaHei"/>
              <a:ea typeface="Microsoft YaHei"/>
              <a:cs typeface="Microsoft YaHe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data!$J$2:$J$133</c:f>
              <c:numCache>
                <c:formatCode>General</c:formatCode>
                <c:ptCount val="132"/>
                <c:pt idx="0">
                  <c:v>-1.6885241096082724E-2</c:v>
                </c:pt>
                <c:pt idx="1">
                  <c:v>-1.552977143562371E-2</c:v>
                </c:pt>
                <c:pt idx="2">
                  <c:v>-2.7274052471542763E-2</c:v>
                </c:pt>
                <c:pt idx="3">
                  <c:v>-2.990693636035122E-2</c:v>
                </c:pt>
                <c:pt idx="4">
                  <c:v>-3.6073632527372737E-2</c:v>
                </c:pt>
                <c:pt idx="5">
                  <c:v>-4.8377040382096378E-2</c:v>
                </c:pt>
                <c:pt idx="6">
                  <c:v>-4.5860626350125548E-2</c:v>
                </c:pt>
                <c:pt idx="7">
                  <c:v>-5.5949965595756067E-2</c:v>
                </c:pt>
                <c:pt idx="8">
                  <c:v>-5.5928915763993073E-2</c:v>
                </c:pt>
                <c:pt idx="9">
                  <c:v>-5.769760852674239E-2</c:v>
                </c:pt>
                <c:pt idx="10">
                  <c:v>-4.0698114062647617E-2</c:v>
                </c:pt>
                <c:pt idx="11">
                  <c:v>-4.3560242910094034E-2</c:v>
                </c:pt>
                <c:pt idx="12">
                  <c:v>-4.8911403144529089E-2</c:v>
                </c:pt>
                <c:pt idx="13">
                  <c:v>-5.4177670442164171E-2</c:v>
                </c:pt>
                <c:pt idx="14">
                  <c:v>-5.1722391355397995E-2</c:v>
                </c:pt>
                <c:pt idx="15">
                  <c:v>-5.1487643811829693E-2</c:v>
                </c:pt>
                <c:pt idx="16">
                  <c:v>-5.4998029949535301E-2</c:v>
                </c:pt>
                <c:pt idx="17">
                  <c:v>-5.9418147611847619E-2</c:v>
                </c:pt>
                <c:pt idx="18">
                  <c:v>-5.0141740396941602E-2</c:v>
                </c:pt>
                <c:pt idx="19">
                  <c:v>-5.311757075685837E-2</c:v>
                </c:pt>
                <c:pt idx="20">
                  <c:v>-5.770384718630453E-2</c:v>
                </c:pt>
                <c:pt idx="21">
                  <c:v>-5.7313708800707491E-2</c:v>
                </c:pt>
                <c:pt idx="22">
                  <c:v>-6.2115162371341855E-2</c:v>
                </c:pt>
                <c:pt idx="23">
                  <c:v>-7.639958835426984E-2</c:v>
                </c:pt>
                <c:pt idx="24">
                  <c:v>-7.3785906928716088E-2</c:v>
                </c:pt>
                <c:pt idx="25">
                  <c:v>-7.4208282919319177E-2</c:v>
                </c:pt>
                <c:pt idx="26">
                  <c:v>-6.1295843015886732E-2</c:v>
                </c:pt>
                <c:pt idx="27">
                  <c:v>-7.7266503204736617E-2</c:v>
                </c:pt>
                <c:pt idx="28">
                  <c:v>-6.6200632462463008E-2</c:v>
                </c:pt>
                <c:pt idx="29">
                  <c:v>-5.1763945167503336E-2</c:v>
                </c:pt>
                <c:pt idx="30">
                  <c:v>-5.2595831579272209E-2</c:v>
                </c:pt>
                <c:pt idx="31">
                  <c:v>-5.9438743102389217E-2</c:v>
                </c:pt>
                <c:pt idx="32">
                  <c:v>-5.9531497845862084E-2</c:v>
                </c:pt>
                <c:pt idx="33">
                  <c:v>-5.6873455652390437E-2</c:v>
                </c:pt>
                <c:pt idx="34">
                  <c:v>-3.1607857296168482E-2</c:v>
                </c:pt>
                <c:pt idx="35">
                  <c:v>-3.3216170567772201E-2</c:v>
                </c:pt>
                <c:pt idx="36">
                  <c:v>-3.6216709474750725E-2</c:v>
                </c:pt>
                <c:pt idx="37">
                  <c:v>-2.6483567303202716E-2</c:v>
                </c:pt>
                <c:pt idx="38">
                  <c:v>-3.9609487446538243E-2</c:v>
                </c:pt>
                <c:pt idx="39">
                  <c:v>-3.4381248644261293E-2</c:v>
                </c:pt>
                <c:pt idx="40">
                  <c:v>-3.2838305349929514E-2</c:v>
                </c:pt>
                <c:pt idx="41">
                  <c:v>-3.4299303472696281E-2</c:v>
                </c:pt>
                <c:pt idx="42">
                  <c:v>-3.9015421348912165E-2</c:v>
                </c:pt>
                <c:pt idx="43">
                  <c:v>-5.6611398530033483E-2</c:v>
                </c:pt>
                <c:pt idx="44">
                  <c:v>-6.1166625300918313E-2</c:v>
                </c:pt>
                <c:pt idx="45">
                  <c:v>-5.9722161165330565E-2</c:v>
                </c:pt>
                <c:pt idx="46">
                  <c:v>-6.2839224827908949E-2</c:v>
                </c:pt>
                <c:pt idx="47">
                  <c:v>-5.7435808230782391E-2</c:v>
                </c:pt>
                <c:pt idx="48">
                  <c:v>-5.0854135544741351E-2</c:v>
                </c:pt>
                <c:pt idx="49">
                  <c:v>-4.858050978618568E-2</c:v>
                </c:pt>
                <c:pt idx="50">
                  <c:v>-4.5674651277966591E-2</c:v>
                </c:pt>
                <c:pt idx="51">
                  <c:v>-3.5153553630072526E-2</c:v>
                </c:pt>
                <c:pt idx="52">
                  <c:v>-3.8738038702381974E-2</c:v>
                </c:pt>
                <c:pt idx="53">
                  <c:v>-2.929256689046731E-2</c:v>
                </c:pt>
                <c:pt idx="54">
                  <c:v>-5.023458957555775E-2</c:v>
                </c:pt>
                <c:pt idx="55">
                  <c:v>-4.4732606792839961E-2</c:v>
                </c:pt>
                <c:pt idx="56">
                  <c:v>-4.8311805466509962E-2</c:v>
                </c:pt>
                <c:pt idx="57">
                  <c:v>-6.1098458676206231E-2</c:v>
                </c:pt>
                <c:pt idx="58">
                  <c:v>-8.3019199982444378E-2</c:v>
                </c:pt>
                <c:pt idx="59">
                  <c:v>-7.6575215655059578E-2</c:v>
                </c:pt>
                <c:pt idx="60">
                  <c:v>-7.4766869009159548E-2</c:v>
                </c:pt>
                <c:pt idx="61">
                  <c:v>-6.9809763090566745E-2</c:v>
                </c:pt>
                <c:pt idx="62">
                  <c:v>-7.8945810513322154E-2</c:v>
                </c:pt>
                <c:pt idx="63">
                  <c:v>-9.1150700326529471E-2</c:v>
                </c:pt>
                <c:pt idx="64">
                  <c:v>-7.3592222225440054E-2</c:v>
                </c:pt>
                <c:pt idx="65">
                  <c:v>-4.9496423073355729E-2</c:v>
                </c:pt>
                <c:pt idx="66">
                  <c:v>-8.7642221141039173E-2</c:v>
                </c:pt>
                <c:pt idx="67">
                  <c:v>-9.1556290490285769E-2</c:v>
                </c:pt>
                <c:pt idx="68">
                  <c:v>-9.9762723777022499E-2</c:v>
                </c:pt>
                <c:pt idx="69">
                  <c:v>-9.4355218415487593E-2</c:v>
                </c:pt>
                <c:pt idx="70">
                  <c:v>-7.9744145001669431E-2</c:v>
                </c:pt>
                <c:pt idx="71">
                  <c:v>-6.0234100586494609E-2</c:v>
                </c:pt>
                <c:pt idx="72">
                  <c:v>-7.1096242431691145E-2</c:v>
                </c:pt>
                <c:pt idx="73">
                  <c:v>-8.3661597741433391E-2</c:v>
                </c:pt>
                <c:pt idx="74">
                  <c:v>-7.3550747718197418E-2</c:v>
                </c:pt>
                <c:pt idx="75">
                  <c:v>-5.4849689778075722E-2</c:v>
                </c:pt>
                <c:pt idx="76">
                  <c:v>-2.8309115774870042E-2</c:v>
                </c:pt>
                <c:pt idx="77">
                  <c:v>-3.3839950442120043E-2</c:v>
                </c:pt>
                <c:pt idx="78">
                  <c:v>-3.8348167785620432E-2</c:v>
                </c:pt>
                <c:pt idx="79">
                  <c:v>-4.2916413915191541E-2</c:v>
                </c:pt>
                <c:pt idx="80">
                  <c:v>-8.0664274143523364E-3</c:v>
                </c:pt>
                <c:pt idx="81">
                  <c:v>-2.0631321329270102E-2</c:v>
                </c:pt>
                <c:pt idx="82">
                  <c:v>-2.2573634006643001E-2</c:v>
                </c:pt>
                <c:pt idx="83">
                  <c:v>-4.1475492018516344E-2</c:v>
                </c:pt>
                <c:pt idx="84">
                  <c:v>-6.0188908454909269E-2</c:v>
                </c:pt>
                <c:pt idx="85">
                  <c:v>-7.1740021198250611E-2</c:v>
                </c:pt>
                <c:pt idx="86">
                  <c:v>-6.3339621130688403E-2</c:v>
                </c:pt>
                <c:pt idx="87">
                  <c:v>-8.7646701199414215E-2</c:v>
                </c:pt>
                <c:pt idx="88">
                  <c:v>-7.9275367633223875E-2</c:v>
                </c:pt>
                <c:pt idx="89">
                  <c:v>-6.1903968400281839E-2</c:v>
                </c:pt>
                <c:pt idx="90">
                  <c:v>-6.8482201952588556E-2</c:v>
                </c:pt>
                <c:pt idx="91">
                  <c:v>-4.0719798730663705E-2</c:v>
                </c:pt>
                <c:pt idx="92">
                  <c:v>-4.3920267511119736E-2</c:v>
                </c:pt>
                <c:pt idx="93">
                  <c:v>-4.2358024353662843E-2</c:v>
                </c:pt>
                <c:pt idx="94">
                  <c:v>-7.5734176949594612E-2</c:v>
                </c:pt>
                <c:pt idx="95">
                  <c:v>-6.7443600212300975E-2</c:v>
                </c:pt>
                <c:pt idx="96">
                  <c:v>-8.232455845823082E-2</c:v>
                </c:pt>
                <c:pt idx="97">
                  <c:v>-0.11933958968223371</c:v>
                </c:pt>
                <c:pt idx="98">
                  <c:v>-0.15008958143407264</c:v>
                </c:pt>
                <c:pt idx="99">
                  <c:v>-0.16576562653857721</c:v>
                </c:pt>
                <c:pt idx="100">
                  <c:v>-0.15753780334788239</c:v>
                </c:pt>
                <c:pt idx="101">
                  <c:v>-0.19410338397284249</c:v>
                </c:pt>
                <c:pt idx="102">
                  <c:v>-0.20074753940958159</c:v>
                </c:pt>
                <c:pt idx="103">
                  <c:v>-0.21607202597482075</c:v>
                </c:pt>
                <c:pt idx="104">
                  <c:v>-0.21466426923399456</c:v>
                </c:pt>
                <c:pt idx="105">
                  <c:v>-0.21657436276575229</c:v>
                </c:pt>
                <c:pt idx="106">
                  <c:v>-0.21310871399289841</c:v>
                </c:pt>
                <c:pt idx="107">
                  <c:v>-0.20248687911060137</c:v>
                </c:pt>
                <c:pt idx="108">
                  <c:v>-0.20616923152144631</c:v>
                </c:pt>
                <c:pt idx="109">
                  <c:v>-0.21978547519356445</c:v>
                </c:pt>
                <c:pt idx="110">
                  <c:v>-0.19593507923772488</c:v>
                </c:pt>
                <c:pt idx="111">
                  <c:v>-0.29212108858740982</c:v>
                </c:pt>
                <c:pt idx="112">
                  <c:v>-0.30597155685601879</c:v>
                </c:pt>
                <c:pt idx="113">
                  <c:v>-0.33962038890966251</c:v>
                </c:pt>
                <c:pt idx="114">
                  <c:v>-0.28293124228792388</c:v>
                </c:pt>
                <c:pt idx="115">
                  <c:v>-0.25397281337335764</c:v>
                </c:pt>
                <c:pt idx="116">
                  <c:v>-0.24609858811430146</c:v>
                </c:pt>
                <c:pt idx="117">
                  <c:v>-0.31345314364643728</c:v>
                </c:pt>
                <c:pt idx="118">
                  <c:v>-0.32370565800761214</c:v>
                </c:pt>
                <c:pt idx="119">
                  <c:v>-0.37224394677359862</c:v>
                </c:pt>
                <c:pt idx="120">
                  <c:v>-0.39132697973218639</c:v>
                </c:pt>
                <c:pt idx="121">
                  <c:v>-0.38480997969604863</c:v>
                </c:pt>
                <c:pt idx="122">
                  <c:v>-0.37636094173304374</c:v>
                </c:pt>
                <c:pt idx="123">
                  <c:v>-0.2871110013968593</c:v>
                </c:pt>
                <c:pt idx="124">
                  <c:v>-0.41935070907503136</c:v>
                </c:pt>
                <c:pt idx="125">
                  <c:v>-0.52667457513167237</c:v>
                </c:pt>
                <c:pt idx="126">
                  <c:v>-0.53899748608380493</c:v>
                </c:pt>
                <c:pt idx="127">
                  <c:v>-0.5849472103581238</c:v>
                </c:pt>
                <c:pt idx="128">
                  <c:v>-0.3108733995019613</c:v>
                </c:pt>
                <c:pt idx="129">
                  <c:v>-0.29847618621504846</c:v>
                </c:pt>
                <c:pt idx="130">
                  <c:v>-1</c:v>
                </c:pt>
                <c:pt idx="1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1B-4EAE-8EEF-DB1E903F7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893639"/>
        <c:axId val="1973905415"/>
      </c:scatterChart>
      <c:valAx>
        <c:axId val="1973893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905415"/>
        <c:crosses val="autoZero"/>
        <c:crossBetween val="midCat"/>
      </c:valAx>
      <c:valAx>
        <c:axId val="1973905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333F4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893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9E1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3</xdr:row>
      <xdr:rowOff>123825</xdr:rowOff>
    </xdr:from>
    <xdr:to>
      <xdr:col>4</xdr:col>
      <xdr:colOff>19050</xdr:colOff>
      <xdr:row>17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Year">
              <a:extLst>
                <a:ext uri="{FF2B5EF4-FFF2-40B4-BE49-F238E27FC236}">
                  <a16:creationId xmlns:a16="http://schemas.microsoft.com/office/drawing/2014/main" id="{438000EB-7D84-F606-F8F2-94E912A9FA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81600" y="6953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1857375</xdr:colOff>
      <xdr:row>4</xdr:row>
      <xdr:rowOff>180975</xdr:rowOff>
    </xdr:from>
    <xdr:to>
      <xdr:col>2</xdr:col>
      <xdr:colOff>1562100</xdr:colOff>
      <xdr:row>18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Fixed_Month">
              <a:extLst>
                <a:ext uri="{FF2B5EF4-FFF2-40B4-BE49-F238E27FC236}">
                  <a16:creationId xmlns:a16="http://schemas.microsoft.com/office/drawing/2014/main" id="{B671B3BC-1E0D-7EB7-16A2-41BD30E2F7AF}"/>
                </a:ext>
                <a:ext uri="{147F2762-F138-4A5C-976F-8EAC2B608ADB}">
                  <a16:predDERef xmlns:a16="http://schemas.microsoft.com/office/drawing/2014/main" pred="{438000EB-7D84-F606-F8F2-94E912A9FA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xed_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81325" y="942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57150</xdr:colOff>
      <xdr:row>4</xdr:row>
      <xdr:rowOff>57150</xdr:rowOff>
    </xdr:from>
    <xdr:to>
      <xdr:col>11</xdr:col>
      <xdr:colOff>0</xdr:colOff>
      <xdr:row>18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ONI_Category">
              <a:extLst>
                <a:ext uri="{FF2B5EF4-FFF2-40B4-BE49-F238E27FC236}">
                  <a16:creationId xmlns:a16="http://schemas.microsoft.com/office/drawing/2014/main" id="{8EBB0175-6C03-7224-E893-3724A811F791}"/>
                </a:ext>
                <a:ext uri="{147F2762-F138-4A5C-976F-8EAC2B608ADB}">
                  <a16:predDERef xmlns:a16="http://schemas.microsoft.com/office/drawing/2014/main" pred="{B671B3BC-1E0D-7EB7-16A2-41BD30E2F7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NI_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29550" y="819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1695450</xdr:colOff>
      <xdr:row>4</xdr:row>
      <xdr:rowOff>9525</xdr:rowOff>
    </xdr:from>
    <xdr:to>
      <xdr:col>0</xdr:col>
      <xdr:colOff>7019925</xdr:colOff>
      <xdr:row>19</xdr:row>
      <xdr:rowOff>19050</xdr:rowOff>
    </xdr:to>
    <xdr:graphicFrame macro="">
      <xdr:nvGraphicFramePr>
        <xdr:cNvPr id="2" name="Chart 1" descr="Chart type: Clustered Bar. 'Number_of_Typhoons' by 'Month'&#10;&#10;Description automatically generated">
          <a:extLst>
            <a:ext uri="{FF2B5EF4-FFF2-40B4-BE49-F238E27FC236}">
              <a16:creationId xmlns:a16="http://schemas.microsoft.com/office/drawing/2014/main" id="{457D8B02-2BD7-462D-AEE3-F41F4FD5D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7096125</xdr:colOff>
      <xdr:row>4</xdr:row>
      <xdr:rowOff>19050</xdr:rowOff>
    </xdr:from>
    <xdr:to>
      <xdr:col>9</xdr:col>
      <xdr:colOff>28575</xdr:colOff>
      <xdr:row>19</xdr:row>
      <xdr:rowOff>9525</xdr:rowOff>
    </xdr:to>
    <xdr:graphicFrame macro="">
      <xdr:nvGraphicFramePr>
        <xdr:cNvPr id="3" name="Chart 2" descr="Chart type: Clustered Column. 'Number_of_Typhoons' by 'ONI_Category'&#10;&#10;Description automatically generated">
          <a:extLst>
            <a:ext uri="{FF2B5EF4-FFF2-40B4-BE49-F238E27FC236}">
              <a16:creationId xmlns:a16="http://schemas.microsoft.com/office/drawing/2014/main" id="{7F74A8B5-56A9-43DA-9B66-088A0ED4C967}"/>
            </a:ext>
            <a:ext uri="{147F2762-F138-4A5C-976F-8EAC2B608ADB}">
              <a16:predDERef xmlns:a16="http://schemas.microsoft.com/office/drawing/2014/main" pred="{457D8B02-2BD7-462D-AEE3-F41F4FD5D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1685925</xdr:colOff>
      <xdr:row>19</xdr:row>
      <xdr:rowOff>66675</xdr:rowOff>
    </xdr:from>
    <xdr:to>
      <xdr:col>0</xdr:col>
      <xdr:colOff>7029450</xdr:colOff>
      <xdr:row>37</xdr:row>
      <xdr:rowOff>0</xdr:rowOff>
    </xdr:to>
    <xdr:graphicFrame macro="">
      <xdr:nvGraphicFramePr>
        <xdr:cNvPr id="4" name="Chart 4" descr="Chart type: Clustered Column. 'Number_of_Typhoons', 'Midlevel_Humidity' and 'SeaLevelPressure' by 'ONI_Category'&#10;&#10;Description automatically generated">
          <a:extLst>
            <a:ext uri="{FF2B5EF4-FFF2-40B4-BE49-F238E27FC236}">
              <a16:creationId xmlns:a16="http://schemas.microsoft.com/office/drawing/2014/main" id="{0158A114-96B1-4D03-BA7E-81E9A8972E9C}"/>
            </a:ext>
            <a:ext uri="{147F2762-F138-4A5C-976F-8EAC2B608ADB}">
              <a16:predDERef xmlns:a16="http://schemas.microsoft.com/office/drawing/2014/main" pred="{7F74A8B5-56A9-43DA-9B66-088A0ED4C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7086600</xdr:colOff>
      <xdr:row>19</xdr:row>
      <xdr:rowOff>66675</xdr:rowOff>
    </xdr:from>
    <xdr:to>
      <xdr:col>9</xdr:col>
      <xdr:colOff>47625</xdr:colOff>
      <xdr:row>37</xdr:row>
      <xdr:rowOff>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865B147A-E841-4E17-BD98-75A5539B06AC}"/>
            </a:ext>
            <a:ext uri="{147F2762-F138-4A5C-976F-8EAC2B608ADB}">
              <a16:predDERef xmlns:a16="http://schemas.microsoft.com/office/drawing/2014/main" pred="{0158A114-96B1-4D03-BA7E-81E9A8972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9525</xdr:colOff>
      <xdr:row>4</xdr:row>
      <xdr:rowOff>9525</xdr:rowOff>
    </xdr:from>
    <xdr:to>
      <xdr:col>0</xdr:col>
      <xdr:colOff>1628775</xdr:colOff>
      <xdr:row>18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Year 1">
              <a:extLst>
                <a:ext uri="{FF2B5EF4-FFF2-40B4-BE49-F238E27FC236}">
                  <a16:creationId xmlns:a16="http://schemas.microsoft.com/office/drawing/2014/main" id="{92E9D8B4-C0E7-256D-A844-5F4762359014}"/>
                </a:ext>
                <a:ext uri="{147F2762-F138-4A5C-976F-8EAC2B608ADB}">
                  <a16:predDERef xmlns:a16="http://schemas.microsoft.com/office/drawing/2014/main" pred="{865B147A-E841-4E17-BD98-75A5539B06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771525"/>
              <a:ext cx="1619250" cy="2733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18</xdr:row>
      <xdr:rowOff>76200</xdr:rowOff>
    </xdr:from>
    <xdr:to>
      <xdr:col>0</xdr:col>
      <xdr:colOff>1638300</xdr:colOff>
      <xdr:row>32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Fixed_Month 1">
              <a:extLst>
                <a:ext uri="{FF2B5EF4-FFF2-40B4-BE49-F238E27FC236}">
                  <a16:creationId xmlns:a16="http://schemas.microsoft.com/office/drawing/2014/main" id="{1262441D-6933-B2C4-CAF6-A317FDC708A3}"/>
                </a:ext>
                <a:ext uri="{147F2762-F138-4A5C-976F-8EAC2B608ADB}">
                  <a16:predDERef xmlns:a16="http://schemas.microsoft.com/office/drawing/2014/main" pred="{92E9D8B4-C0E7-256D-A844-5F47623590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xed_Month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3505200"/>
              <a:ext cx="1628775" cy="259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32</xdr:row>
      <xdr:rowOff>0</xdr:rowOff>
    </xdr:from>
    <xdr:to>
      <xdr:col>0</xdr:col>
      <xdr:colOff>1628775</xdr:colOff>
      <xdr:row>37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ONI_Category 1">
              <a:extLst>
                <a:ext uri="{FF2B5EF4-FFF2-40B4-BE49-F238E27FC236}">
                  <a16:creationId xmlns:a16="http://schemas.microsoft.com/office/drawing/2014/main" id="{9DF0C790-B338-C4CB-EF5B-800649FB65BD}"/>
                </a:ext>
                <a:ext uri="{147F2762-F138-4A5C-976F-8EAC2B608ADB}">
                  <a16:predDERef xmlns:a16="http://schemas.microsoft.com/office/drawing/2014/main" pred="{1262441D-6933-B2C4-CAF6-A317FDC70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NI_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6096000"/>
              <a:ext cx="161925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5.920384027777" createdVersion="8" refreshedVersion="8" minRefreshableVersion="3" recordCount="132" xr:uid="{F91CD447-25DD-4C78-A604-E4A97C0F8809}">
  <cacheSource type="worksheet">
    <worksheetSource ref="A1:O133" sheet="data"/>
  </cacheSource>
  <cacheFields count="15">
    <cacheField name="Year" numFmtId="0">
      <sharedItems containsSemiMixedTypes="0" containsString="0" containsNumber="1" containsInteger="1" minValue="2014" maxValue="2024" count="11"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Fixed_Date_Format" numFmtId="14">
      <sharedItems containsSemiMixedTypes="0" containsNonDate="0" containsDate="1" containsString="0" minDate="2014-01-01T00:00:00" maxDate="2024-12-02T00:00:00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Fixed_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Number_of_Typhoons" numFmtId="0">
      <sharedItems containsSemiMixedTypes="0" containsString="0" containsNumber="1" containsInteger="1" minValue="0" maxValue="8"/>
    </cacheField>
    <cacheField name="ONI" numFmtId="0">
      <sharedItems containsSemiMixedTypes="0" containsString="0" containsNumber="1" minValue="-1.38" maxValue="1.68"/>
    </cacheField>
    <cacheField name="ONI_Category" numFmtId="0">
      <sharedItems count="3">
        <s v="Neutral"/>
        <s v="El Niño"/>
        <s v="La Niña"/>
      </sharedItems>
    </cacheField>
    <cacheField name="Nino3.4_SST_anomaly" numFmtId="0">
      <sharedItems containsSemiMixedTypes="0" containsString="0" containsNumber="1" minValue="-1.47" maxValue="1.63"/>
    </cacheField>
    <cacheField name="Western_Pacific_SST" numFmtId="0">
      <sharedItems containsSemiMixedTypes="0" containsString="0" containsNumber="1" minValue="-0.5" maxValue="0.7"/>
    </cacheField>
    <cacheField name="Correl_SST_TyphoonNum" numFmtId="0">
      <sharedItems containsMixedTypes="1" containsNumber="1" minValue="-1" maxValue="-8.0664274143523364E-3"/>
    </cacheField>
    <cacheField name="Vertical_Wind_Shear" numFmtId="0">
      <sharedItems containsSemiMixedTypes="0" containsString="0" containsNumber="1" minValue="6.9" maxValue="14"/>
    </cacheField>
    <cacheField name="Midlevel_Humidity" numFmtId="0">
      <sharedItems containsSemiMixedTypes="0" containsString="0" containsNumber="1" minValue="48.2" maxValue="75.7"/>
    </cacheField>
    <cacheField name="SeaLevelPressure" numFmtId="0">
      <sharedItems containsSemiMixedTypes="0" containsString="0" containsNumber="1" minValue="1003.1" maxValue="1011.1"/>
    </cacheField>
    <cacheField name="MJO_Phase" numFmtId="0">
      <sharedItems containsSemiMixedTypes="0" containsString="0" containsNumber="1" containsInteger="1" minValue="0" maxValue="8"/>
    </cacheField>
    <cacheField name="Prev_month_typhoons" numFmtId="0">
      <sharedItems containsSemiMixedTypes="0" containsString="0" containsNumber="1" containsInteger="1" minValue="0" maxValue="8"/>
    </cacheField>
  </cacheFields>
  <extLst>
    <ext xmlns:x14="http://schemas.microsoft.com/office/spreadsheetml/2009/9/main" uri="{725AE2AE-9491-48be-B2B4-4EB974FC3084}">
      <x14:pivotCacheDefinition pivotCacheId="3143500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d v="2014-01-01T00:00:00"/>
    <x v="0"/>
    <x v="0"/>
    <n v="1"/>
    <n v="0.03"/>
    <x v="0"/>
    <n v="-0.05"/>
    <n v="0.36"/>
    <n v="-1.6885241096082724E-2"/>
    <n v="13.2"/>
    <n v="54.8"/>
    <n v="1009.8"/>
    <n v="0"/>
    <n v="0"/>
  </r>
  <r>
    <x v="0"/>
    <d v="2014-02-01T00:00:00"/>
    <x v="1"/>
    <x v="1"/>
    <n v="0"/>
    <n v="0.2"/>
    <x v="0"/>
    <n v="0.18"/>
    <n v="-0.43"/>
    <n v="-1.552977143562371E-2"/>
    <n v="13.8"/>
    <n v="59.5"/>
    <n v="1009.5"/>
    <n v="7"/>
    <n v="1"/>
  </r>
  <r>
    <x v="0"/>
    <d v="2014-03-01T00:00:00"/>
    <x v="2"/>
    <x v="2"/>
    <n v="0"/>
    <n v="0.02"/>
    <x v="0"/>
    <n v="0"/>
    <n v="0.01"/>
    <n v="-2.7274052471542763E-2"/>
    <n v="13"/>
    <n v="49.3"/>
    <n v="1009.4"/>
    <n v="6"/>
    <n v="0"/>
  </r>
  <r>
    <x v="0"/>
    <d v="2014-04-01T00:00:00"/>
    <x v="3"/>
    <x v="3"/>
    <n v="0"/>
    <n v="0.13"/>
    <x v="0"/>
    <n v="7.0000000000000007E-2"/>
    <n v="-0.15"/>
    <n v="-2.990693636035122E-2"/>
    <n v="10.7"/>
    <n v="57.8"/>
    <n v="1008.2"/>
    <n v="0"/>
    <n v="0"/>
  </r>
  <r>
    <x v="0"/>
    <d v="2014-05-01T00:00:00"/>
    <x v="4"/>
    <x v="4"/>
    <n v="0"/>
    <n v="-0.03"/>
    <x v="0"/>
    <n v="-0.05"/>
    <n v="-0.41"/>
    <n v="-3.6073632527372737E-2"/>
    <n v="11.1"/>
    <n v="61.4"/>
    <n v="1008.1"/>
    <n v="3"/>
    <n v="0"/>
  </r>
  <r>
    <x v="0"/>
    <d v="2014-06-01T00:00:00"/>
    <x v="5"/>
    <x v="5"/>
    <n v="3"/>
    <n v="0.19"/>
    <x v="0"/>
    <n v="0.12"/>
    <n v="0.02"/>
    <n v="-4.8377040382096378E-2"/>
    <n v="8"/>
    <n v="69.599999999999994"/>
    <n v="1006.3"/>
    <n v="1"/>
    <n v="0"/>
  </r>
  <r>
    <x v="0"/>
    <d v="2014-07-01T00:00:00"/>
    <x v="6"/>
    <x v="6"/>
    <n v="3"/>
    <n v="0.17"/>
    <x v="0"/>
    <n v="0.13"/>
    <n v="0.55000000000000004"/>
    <n v="-4.5860626350125548E-2"/>
    <n v="9"/>
    <n v="70.400000000000006"/>
    <n v="1006.4"/>
    <n v="8"/>
    <n v="3"/>
  </r>
  <r>
    <x v="0"/>
    <d v="2014-08-01T00:00:00"/>
    <x v="7"/>
    <x v="7"/>
    <n v="2"/>
    <n v="0.12"/>
    <x v="0"/>
    <n v="0.05"/>
    <n v="0.13"/>
    <n v="-5.5949965595756067E-2"/>
    <n v="8"/>
    <n v="70"/>
    <n v="1005.2"/>
    <n v="5"/>
    <n v="3"/>
  </r>
  <r>
    <x v="0"/>
    <d v="2014-09-01T00:00:00"/>
    <x v="8"/>
    <x v="8"/>
    <n v="2"/>
    <n v="-0.11"/>
    <x v="0"/>
    <n v="-0.05"/>
    <n v="0.33"/>
    <n v="-5.5928915763993073E-2"/>
    <n v="6.9"/>
    <n v="73.099999999999994"/>
    <n v="1004.7"/>
    <n v="3"/>
    <n v="2"/>
  </r>
  <r>
    <x v="0"/>
    <d v="2014-10-01T00:00:00"/>
    <x v="9"/>
    <x v="9"/>
    <n v="4"/>
    <n v="-0.01"/>
    <x v="0"/>
    <n v="7.0000000000000007E-2"/>
    <n v="-0.32"/>
    <n v="-5.769760852674239E-2"/>
    <n v="9.4"/>
    <n v="60.7"/>
    <n v="1004.6"/>
    <n v="8"/>
    <n v="2"/>
  </r>
  <r>
    <x v="0"/>
    <d v="2014-11-01T00:00:00"/>
    <x v="10"/>
    <x v="10"/>
    <n v="1"/>
    <n v="-0.01"/>
    <x v="0"/>
    <n v="0.04"/>
    <n v="-0.27"/>
    <n v="-4.0698114062647617E-2"/>
    <n v="10.4"/>
    <n v="63.3"/>
    <n v="1009.5"/>
    <n v="1"/>
    <n v="4"/>
  </r>
  <r>
    <x v="0"/>
    <d v="2014-12-01T00:00:00"/>
    <x v="11"/>
    <x v="11"/>
    <n v="0"/>
    <n v="0.06"/>
    <x v="0"/>
    <n v="0.08"/>
    <n v="-0.09"/>
    <n v="-4.3560242910094034E-2"/>
    <n v="11.8"/>
    <n v="61.4"/>
    <n v="1011.1"/>
    <n v="5"/>
    <n v="1"/>
  </r>
  <r>
    <x v="1"/>
    <d v="2015-01-01T00:00:00"/>
    <x v="0"/>
    <x v="0"/>
    <n v="0"/>
    <n v="1.52"/>
    <x v="1"/>
    <n v="1.55"/>
    <n v="-0.08"/>
    <n v="-4.8911403144529089E-2"/>
    <n v="11.9"/>
    <n v="60.4"/>
    <n v="1009.2"/>
    <n v="3"/>
    <n v="0"/>
  </r>
  <r>
    <x v="1"/>
    <d v="2015-02-01T00:00:00"/>
    <x v="1"/>
    <x v="1"/>
    <n v="1"/>
    <n v="1.4"/>
    <x v="1"/>
    <n v="1.46"/>
    <n v="0.55000000000000004"/>
    <n v="-5.4177670442164171E-2"/>
    <n v="12.3"/>
    <n v="58.1"/>
    <n v="1009.6"/>
    <n v="3"/>
    <n v="0"/>
  </r>
  <r>
    <x v="1"/>
    <d v="2015-03-01T00:00:00"/>
    <x v="2"/>
    <x v="2"/>
    <n v="0"/>
    <n v="1.48"/>
    <x v="1"/>
    <n v="1.41"/>
    <n v="0.16"/>
    <n v="-5.1722391355397995E-2"/>
    <n v="12.9"/>
    <n v="53.3"/>
    <n v="1010.1"/>
    <n v="5"/>
    <n v="1"/>
  </r>
  <r>
    <x v="1"/>
    <d v="2015-04-01T00:00:00"/>
    <x v="3"/>
    <x v="3"/>
    <n v="0"/>
    <n v="1.57"/>
    <x v="1"/>
    <n v="1.63"/>
    <n v="0"/>
    <n v="-5.1487643811829693E-2"/>
    <n v="9.4"/>
    <n v="58"/>
    <n v="1006.9"/>
    <n v="3"/>
    <n v="0"/>
  </r>
  <r>
    <x v="1"/>
    <d v="2015-05-01T00:00:00"/>
    <x v="4"/>
    <x v="4"/>
    <n v="1"/>
    <n v="1.61"/>
    <x v="1"/>
    <n v="1.54"/>
    <n v="-0.37"/>
    <n v="-5.4998029949535301E-2"/>
    <n v="11.4"/>
    <n v="61"/>
    <n v="1007.6"/>
    <n v="3"/>
    <n v="0"/>
  </r>
  <r>
    <x v="1"/>
    <d v="2015-06-01T00:00:00"/>
    <x v="5"/>
    <x v="5"/>
    <n v="0"/>
    <n v="1.68"/>
    <x v="1"/>
    <n v="1.61"/>
    <n v="0.56000000000000005"/>
    <n v="-5.9418147611847619E-2"/>
    <n v="8.3000000000000007"/>
    <n v="67.900000000000006"/>
    <n v="1007"/>
    <n v="8"/>
    <n v="1"/>
  </r>
  <r>
    <x v="1"/>
    <d v="2015-07-01T00:00:00"/>
    <x v="6"/>
    <x v="6"/>
    <n v="0"/>
    <n v="1.46"/>
    <x v="1"/>
    <n v="1.41"/>
    <n v="0.03"/>
    <n v="-5.0141740396941602E-2"/>
    <n v="7.5"/>
    <n v="71.900000000000006"/>
    <n v="1005.6"/>
    <n v="8"/>
    <n v="0"/>
  </r>
  <r>
    <x v="1"/>
    <d v="2015-08-01T00:00:00"/>
    <x v="7"/>
    <x v="7"/>
    <n v="1"/>
    <n v="1.52"/>
    <x v="1"/>
    <n v="1.6"/>
    <n v="-0.35"/>
    <n v="-5.311757075685837E-2"/>
    <n v="7"/>
    <n v="71.7"/>
    <n v="1004.6"/>
    <n v="1"/>
    <n v="0"/>
  </r>
  <r>
    <x v="1"/>
    <d v="2015-09-01T00:00:00"/>
    <x v="8"/>
    <x v="8"/>
    <n v="1"/>
    <n v="1.57"/>
    <x v="1"/>
    <n v="1.58"/>
    <n v="0.2"/>
    <n v="-5.770384718630453E-2"/>
    <n v="8.3000000000000007"/>
    <n v="67.3"/>
    <n v="1006.2"/>
    <n v="7"/>
    <n v="1"/>
  </r>
  <r>
    <x v="1"/>
    <d v="2015-10-01T00:00:00"/>
    <x v="9"/>
    <x v="9"/>
    <n v="1"/>
    <n v="1.39"/>
    <x v="1"/>
    <n v="1.38"/>
    <n v="-0.35"/>
    <n v="-5.7313708800707491E-2"/>
    <n v="9.8000000000000007"/>
    <n v="62.8"/>
    <n v="1005.1"/>
    <n v="0"/>
    <n v="1"/>
  </r>
  <r>
    <x v="1"/>
    <d v="2015-11-01T00:00:00"/>
    <x v="10"/>
    <x v="10"/>
    <n v="3"/>
    <n v="1.49"/>
    <x v="1"/>
    <n v="1.4"/>
    <n v="0.68"/>
    <n v="-6.2115162371341855E-2"/>
    <n v="9.5"/>
    <n v="63.3"/>
    <n v="1007.2"/>
    <n v="5"/>
    <n v="1"/>
  </r>
  <r>
    <x v="1"/>
    <d v="2015-12-01T00:00:00"/>
    <x v="11"/>
    <x v="11"/>
    <n v="1"/>
    <n v="1.37"/>
    <x v="1"/>
    <n v="1.34"/>
    <n v="0.51"/>
    <n v="-7.639958835426984E-2"/>
    <n v="11.5"/>
    <n v="54"/>
    <n v="1009"/>
    <n v="0"/>
    <n v="3"/>
  </r>
  <r>
    <x v="2"/>
    <d v="2016-01-01T00:00:00"/>
    <x v="0"/>
    <x v="0"/>
    <n v="0"/>
    <n v="-0.45"/>
    <x v="0"/>
    <n v="-0.49"/>
    <n v="0.14000000000000001"/>
    <n v="-7.3785906928716088E-2"/>
    <n v="12.3"/>
    <n v="58"/>
    <n v="1011.1"/>
    <n v="1"/>
    <n v="1"/>
  </r>
  <r>
    <x v="2"/>
    <d v="2016-02-01T00:00:00"/>
    <x v="1"/>
    <x v="1"/>
    <n v="0"/>
    <n v="-0.5"/>
    <x v="2"/>
    <n v="-0.51"/>
    <n v="0.68"/>
    <n v="-7.4208282919319177E-2"/>
    <n v="12.9"/>
    <n v="61.6"/>
    <n v="1010.6"/>
    <n v="0"/>
    <n v="0"/>
  </r>
  <r>
    <x v="2"/>
    <d v="2016-03-01T00:00:00"/>
    <x v="2"/>
    <x v="2"/>
    <n v="0"/>
    <n v="-0.53"/>
    <x v="2"/>
    <n v="-0.46"/>
    <n v="-0.41"/>
    <n v="-6.1295843015886732E-2"/>
    <n v="13"/>
    <n v="51"/>
    <n v="1008.4"/>
    <n v="0"/>
    <n v="0"/>
  </r>
  <r>
    <x v="2"/>
    <d v="2016-04-01T00:00:00"/>
    <x v="3"/>
    <x v="3"/>
    <n v="0"/>
    <n v="-0.52"/>
    <x v="2"/>
    <n v="-0.6"/>
    <n v="0.57999999999999996"/>
    <n v="-7.7266503204736617E-2"/>
    <n v="11.4"/>
    <n v="65"/>
    <n v="1008.5"/>
    <n v="5"/>
    <n v="0"/>
  </r>
  <r>
    <x v="2"/>
    <d v="2016-05-01T00:00:00"/>
    <x v="4"/>
    <x v="4"/>
    <n v="0"/>
    <n v="-0.57999999999999996"/>
    <x v="2"/>
    <n v="-0.57999999999999996"/>
    <n v="0.69"/>
    <n v="-6.6200632462463008E-2"/>
    <n v="10.7"/>
    <n v="56"/>
    <n v="1007.8"/>
    <n v="1"/>
    <n v="0"/>
  </r>
  <r>
    <x v="2"/>
    <d v="2016-06-01T00:00:00"/>
    <x v="5"/>
    <x v="5"/>
    <n v="3"/>
    <n v="-0.52"/>
    <x v="2"/>
    <n v="-0.52"/>
    <n v="0.16"/>
    <n v="-5.1763945167503336E-2"/>
    <n v="7.4"/>
    <n v="64.7"/>
    <n v="1004.6"/>
    <n v="8"/>
    <n v="0"/>
  </r>
  <r>
    <x v="2"/>
    <d v="2016-07-01T00:00:00"/>
    <x v="6"/>
    <x v="6"/>
    <n v="1"/>
    <n v="-0.47"/>
    <x v="0"/>
    <n v="-0.49"/>
    <n v="-0.44"/>
    <n v="-5.2595831579272209E-2"/>
    <n v="8.1999999999999993"/>
    <n v="72.099999999999994"/>
    <n v="1004.9"/>
    <n v="3"/>
    <n v="3"/>
  </r>
  <r>
    <x v="2"/>
    <d v="2016-08-01T00:00:00"/>
    <x v="7"/>
    <x v="7"/>
    <n v="2"/>
    <n v="-0.45"/>
    <x v="0"/>
    <n v="-0.47"/>
    <n v="0.15"/>
    <n v="-5.9438743102389217E-2"/>
    <n v="8.4"/>
    <n v="70.400000000000006"/>
    <n v="1004.4"/>
    <n v="7"/>
    <n v="1"/>
  </r>
  <r>
    <x v="2"/>
    <d v="2016-09-01T00:00:00"/>
    <x v="8"/>
    <x v="8"/>
    <n v="2"/>
    <n v="-0.27"/>
    <x v="0"/>
    <n v="-0.2"/>
    <n v="-0.23"/>
    <n v="-5.9531497845862084E-2"/>
    <n v="8.9"/>
    <n v="72.5"/>
    <n v="1004.5"/>
    <n v="7"/>
    <n v="2"/>
  </r>
  <r>
    <x v="2"/>
    <d v="2016-10-01T00:00:00"/>
    <x v="9"/>
    <x v="9"/>
    <n v="5"/>
    <n v="-0.67"/>
    <x v="2"/>
    <n v="-0.63"/>
    <n v="-0.26"/>
    <n v="-5.6873455652390437E-2"/>
    <n v="9"/>
    <n v="64.599999999999994"/>
    <n v="1004.5"/>
    <n v="0"/>
    <n v="2"/>
  </r>
  <r>
    <x v="2"/>
    <d v="2016-11-01T00:00:00"/>
    <x v="10"/>
    <x v="10"/>
    <n v="3"/>
    <n v="-0.21"/>
    <x v="0"/>
    <n v="-0.12"/>
    <n v="0.2"/>
    <n v="-3.1607857296168482E-2"/>
    <n v="9.8000000000000007"/>
    <n v="68"/>
    <n v="1007.8"/>
    <n v="4"/>
    <n v="5"/>
  </r>
  <r>
    <x v="2"/>
    <d v="2016-12-01T00:00:00"/>
    <x v="11"/>
    <x v="11"/>
    <n v="1"/>
    <n v="-0.42"/>
    <x v="0"/>
    <n v="-0.31"/>
    <n v="-0.14000000000000001"/>
    <n v="-3.3216170567772201E-2"/>
    <n v="11.8"/>
    <n v="54.8"/>
    <n v="1010.8"/>
    <n v="7"/>
    <n v="3"/>
  </r>
  <r>
    <x v="3"/>
    <d v="2017-01-01T00:00:00"/>
    <x v="0"/>
    <x v="0"/>
    <n v="0"/>
    <n v="0.08"/>
    <x v="0"/>
    <n v="0.06"/>
    <n v="0.49"/>
    <n v="-3.6216709474750725E-2"/>
    <n v="12.2"/>
    <n v="53.6"/>
    <n v="1009.7"/>
    <n v="7"/>
    <n v="1"/>
  </r>
  <r>
    <x v="3"/>
    <d v="2017-02-01T00:00:00"/>
    <x v="1"/>
    <x v="1"/>
    <n v="0"/>
    <n v="-7.0000000000000007E-2"/>
    <x v="0"/>
    <n v="-0.02"/>
    <n v="-0.27"/>
    <n v="-2.6483567303202716E-2"/>
    <n v="12"/>
    <n v="51.8"/>
    <n v="1010.5"/>
    <n v="4"/>
    <n v="0"/>
  </r>
  <r>
    <x v="3"/>
    <d v="2017-03-01T00:00:00"/>
    <x v="2"/>
    <x v="2"/>
    <n v="1"/>
    <n v="-0.04"/>
    <x v="0"/>
    <n v="-0.03"/>
    <n v="0.68"/>
    <n v="-3.9609487446538243E-2"/>
    <n v="11.5"/>
    <n v="55.9"/>
    <n v="1009.7"/>
    <n v="3"/>
    <n v="0"/>
  </r>
  <r>
    <x v="3"/>
    <d v="2017-04-01T00:00:00"/>
    <x v="3"/>
    <x v="3"/>
    <n v="1"/>
    <n v="-0.13"/>
    <x v="0"/>
    <n v="-0.11"/>
    <n v="0.28999999999999998"/>
    <n v="-3.4381248644261293E-2"/>
    <n v="10.9"/>
    <n v="62.2"/>
    <n v="1008.8"/>
    <n v="2"/>
    <n v="1"/>
  </r>
  <r>
    <x v="3"/>
    <d v="2017-05-01T00:00:00"/>
    <x v="4"/>
    <x v="4"/>
    <n v="1"/>
    <n v="0.03"/>
    <x v="0"/>
    <n v="-0.01"/>
    <n v="0.02"/>
    <n v="-3.2838305349929514E-2"/>
    <n v="10.8"/>
    <n v="57.2"/>
    <n v="1008.6"/>
    <n v="8"/>
    <n v="1"/>
  </r>
  <r>
    <x v="3"/>
    <d v="2017-06-01T00:00:00"/>
    <x v="5"/>
    <x v="5"/>
    <n v="2"/>
    <n v="0.08"/>
    <x v="0"/>
    <n v="0"/>
    <n v="0.62"/>
    <n v="-3.4299303472696281E-2"/>
    <n v="7.8"/>
    <n v="71.8"/>
    <n v="1004.8"/>
    <n v="5"/>
    <n v="1"/>
  </r>
  <r>
    <x v="3"/>
    <d v="2017-07-01T00:00:00"/>
    <x v="6"/>
    <x v="6"/>
    <n v="4"/>
    <n v="0.15"/>
    <x v="0"/>
    <n v="0.14000000000000001"/>
    <n v="0.47"/>
    <n v="-3.9015421348912165E-2"/>
    <n v="8.1999999999999993"/>
    <n v="68.2"/>
    <n v="1005.6"/>
    <n v="6"/>
    <n v="2"/>
  </r>
  <r>
    <x v="3"/>
    <d v="2017-08-01T00:00:00"/>
    <x v="7"/>
    <x v="7"/>
    <n v="2"/>
    <n v="-0.01"/>
    <x v="0"/>
    <n v="0.04"/>
    <n v="0.54"/>
    <n v="-5.6611398530033483E-2"/>
    <n v="8.3000000000000007"/>
    <n v="70.8"/>
    <n v="1004.5"/>
    <n v="6"/>
    <n v="4"/>
  </r>
  <r>
    <x v="3"/>
    <d v="2017-09-01T00:00:00"/>
    <x v="8"/>
    <x v="8"/>
    <n v="2"/>
    <n v="-0.09"/>
    <x v="0"/>
    <n v="-0.14000000000000001"/>
    <n v="-0.02"/>
    <n v="-6.1166625300918313E-2"/>
    <n v="8.1"/>
    <n v="67.599999999999994"/>
    <n v="1003.4"/>
    <n v="7"/>
    <n v="2"/>
  </r>
  <r>
    <x v="3"/>
    <d v="2017-10-01T00:00:00"/>
    <x v="9"/>
    <x v="9"/>
    <n v="2"/>
    <n v="-0.16"/>
    <x v="0"/>
    <n v="-0.15"/>
    <n v="0.41"/>
    <n v="-5.9722161165330565E-2"/>
    <n v="8.6"/>
    <n v="64"/>
    <n v="1004.2"/>
    <n v="7"/>
    <n v="2"/>
  </r>
  <r>
    <x v="3"/>
    <d v="2017-11-01T00:00:00"/>
    <x v="10"/>
    <x v="10"/>
    <n v="3"/>
    <n v="-0.01"/>
    <x v="0"/>
    <n v="0.03"/>
    <n v="-0.05"/>
    <n v="-6.2839224827908949E-2"/>
    <n v="10.6"/>
    <n v="65.400000000000006"/>
    <n v="1007"/>
    <n v="7"/>
    <n v="2"/>
  </r>
  <r>
    <x v="3"/>
    <d v="2017-12-01T00:00:00"/>
    <x v="11"/>
    <x v="11"/>
    <n v="0"/>
    <n v="7.0000000000000007E-2"/>
    <x v="0"/>
    <n v="0"/>
    <n v="0.35"/>
    <n v="-5.7435808230782391E-2"/>
    <n v="12.3"/>
    <n v="51.1"/>
    <n v="1009.3"/>
    <n v="7"/>
    <n v="3"/>
  </r>
  <r>
    <x v="4"/>
    <d v="2018-01-01T00:00:00"/>
    <x v="0"/>
    <x v="0"/>
    <n v="2"/>
    <n v="-0.16"/>
    <x v="0"/>
    <n v="-0.23"/>
    <n v="-0.1"/>
    <n v="-5.0854135544741351E-2"/>
    <n v="13"/>
    <n v="57.6"/>
    <n v="1010.3"/>
    <n v="6"/>
    <n v="0"/>
  </r>
  <r>
    <x v="4"/>
    <d v="2018-02-01T00:00:00"/>
    <x v="1"/>
    <x v="1"/>
    <n v="0"/>
    <n v="-0.44"/>
    <x v="0"/>
    <n v="-0.45"/>
    <n v="0.23"/>
    <n v="-4.858050978618568E-2"/>
    <n v="13.1"/>
    <n v="54.5"/>
    <n v="1010.6"/>
    <n v="6"/>
    <n v="2"/>
  </r>
  <r>
    <x v="4"/>
    <d v="2018-03-01T00:00:00"/>
    <x v="2"/>
    <x v="2"/>
    <n v="0"/>
    <n v="-0.27"/>
    <x v="0"/>
    <n v="-0.28999999999999998"/>
    <n v="0.46"/>
    <n v="-4.5674651277966591E-2"/>
    <n v="13.4"/>
    <n v="57.1"/>
    <n v="1008.7"/>
    <n v="8"/>
    <n v="0"/>
  </r>
  <r>
    <x v="4"/>
    <d v="2018-04-01T00:00:00"/>
    <x v="3"/>
    <x v="3"/>
    <n v="0"/>
    <n v="-0.38"/>
    <x v="0"/>
    <n v="-0.33"/>
    <n v="0.03"/>
    <n v="-3.5153553630072526E-2"/>
    <n v="10.1"/>
    <n v="59.5"/>
    <n v="1008.5"/>
    <n v="4"/>
    <n v="0"/>
  </r>
  <r>
    <x v="4"/>
    <d v="2018-05-01T00:00:00"/>
    <x v="4"/>
    <x v="4"/>
    <n v="0"/>
    <n v="-0.45"/>
    <x v="0"/>
    <n v="-0.44"/>
    <n v="0.41"/>
    <n v="-3.8738038702381974E-2"/>
    <n v="10.6"/>
    <n v="66.3"/>
    <n v="1008.1"/>
    <n v="8"/>
    <n v="0"/>
  </r>
  <r>
    <x v="4"/>
    <d v="2018-06-01T00:00:00"/>
    <x v="5"/>
    <x v="5"/>
    <n v="0"/>
    <n v="-0.27"/>
    <x v="0"/>
    <n v="-0.27"/>
    <n v="-0.43"/>
    <n v="-2.929256689046731E-2"/>
    <n v="8.1"/>
    <n v="66.599999999999994"/>
    <n v="1006.2"/>
    <n v="7"/>
    <n v="0"/>
  </r>
  <r>
    <x v="4"/>
    <d v="2018-07-01T00:00:00"/>
    <x v="6"/>
    <x v="6"/>
    <n v="1"/>
    <n v="-0.27"/>
    <x v="0"/>
    <n v="-0.28999999999999998"/>
    <n v="0.56999999999999995"/>
    <n v="-5.023458957555775E-2"/>
    <n v="8.4"/>
    <n v="69.900000000000006"/>
    <n v="1005.5"/>
    <n v="2"/>
    <n v="0"/>
  </r>
  <r>
    <x v="4"/>
    <d v="2018-08-01T00:00:00"/>
    <x v="7"/>
    <x v="7"/>
    <n v="2"/>
    <n v="-0.4"/>
    <x v="0"/>
    <n v="-0.42"/>
    <n v="0.48"/>
    <n v="-4.4732606792839961E-2"/>
    <n v="8.1"/>
    <n v="70.400000000000006"/>
    <n v="1004"/>
    <n v="7"/>
    <n v="1"/>
  </r>
  <r>
    <x v="4"/>
    <d v="2018-09-01T00:00:00"/>
    <x v="8"/>
    <x v="8"/>
    <n v="3"/>
    <n v="-0.38"/>
    <x v="0"/>
    <n v="-0.4"/>
    <n v="0.49"/>
    <n v="-4.8311805466509962E-2"/>
    <n v="8.5"/>
    <n v="67.900000000000006"/>
    <n v="1005.1"/>
    <n v="4"/>
    <n v="2"/>
  </r>
  <r>
    <x v="4"/>
    <d v="2018-10-01T00:00:00"/>
    <x v="9"/>
    <x v="9"/>
    <n v="4"/>
    <n v="-0.48"/>
    <x v="0"/>
    <n v="-0.48"/>
    <n v="0.47"/>
    <n v="-6.1098458676206231E-2"/>
    <n v="9.1"/>
    <n v="67"/>
    <n v="1006.2"/>
    <n v="4"/>
    <n v="3"/>
  </r>
  <r>
    <x v="4"/>
    <d v="2018-11-01T00:00:00"/>
    <x v="10"/>
    <x v="10"/>
    <n v="0"/>
    <n v="-0.21"/>
    <x v="0"/>
    <n v="-0.17"/>
    <n v="0.3"/>
    <n v="-8.3019199982444378E-2"/>
    <n v="10.3"/>
    <n v="69.599999999999994"/>
    <n v="1009"/>
    <n v="6"/>
    <n v="4"/>
  </r>
  <r>
    <x v="4"/>
    <d v="2018-12-01T00:00:00"/>
    <x v="11"/>
    <x v="11"/>
    <n v="1"/>
    <n v="-0.2"/>
    <x v="0"/>
    <n v="-0.21"/>
    <n v="0.25"/>
    <n v="-7.6575215655059578E-2"/>
    <n v="12.5"/>
    <n v="50.5"/>
    <n v="1009.8"/>
    <n v="0"/>
    <n v="0"/>
  </r>
  <r>
    <x v="5"/>
    <d v="2019-01-01T00:00:00"/>
    <x v="0"/>
    <x v="0"/>
    <n v="1"/>
    <n v="0.57999999999999996"/>
    <x v="1"/>
    <n v="0.6"/>
    <n v="0.51"/>
    <n v="-7.4766869009159548E-2"/>
    <n v="12.5"/>
    <n v="54.4"/>
    <n v="1009.6"/>
    <n v="4"/>
    <n v="1"/>
  </r>
  <r>
    <x v="5"/>
    <d v="2019-02-01T00:00:00"/>
    <x v="1"/>
    <x v="1"/>
    <n v="0"/>
    <n v="0.67"/>
    <x v="1"/>
    <n v="0.73"/>
    <n v="-0.11"/>
    <n v="-6.9809763090566745E-2"/>
    <n v="13.7"/>
    <n v="54.6"/>
    <n v="1008.9"/>
    <n v="1"/>
    <n v="1"/>
  </r>
  <r>
    <x v="5"/>
    <d v="2019-03-01T00:00:00"/>
    <x v="2"/>
    <x v="2"/>
    <n v="0"/>
    <n v="0.89"/>
    <x v="1"/>
    <n v="0.91"/>
    <n v="-0.17"/>
    <n v="-7.8945810513322154E-2"/>
    <n v="13.8"/>
    <n v="49"/>
    <n v="1009"/>
    <n v="8"/>
    <n v="0"/>
  </r>
  <r>
    <x v="5"/>
    <d v="2019-04-01T00:00:00"/>
    <x v="3"/>
    <x v="3"/>
    <n v="0"/>
    <n v="0.56000000000000005"/>
    <x v="1"/>
    <n v="0.52"/>
    <n v="0.56999999999999995"/>
    <n v="-9.1150700326529471E-2"/>
    <n v="10.9"/>
    <n v="64.7"/>
    <n v="1007.7"/>
    <n v="0"/>
    <n v="0"/>
  </r>
  <r>
    <x v="5"/>
    <d v="2019-05-01T00:00:00"/>
    <x v="4"/>
    <x v="4"/>
    <n v="0"/>
    <n v="0.78"/>
    <x v="1"/>
    <n v="0.77"/>
    <n v="0.7"/>
    <n v="-7.3592222225440054E-2"/>
    <n v="11.8"/>
    <n v="63.5"/>
    <n v="1006.8"/>
    <n v="5"/>
    <n v="0"/>
  </r>
  <r>
    <x v="5"/>
    <d v="2019-06-01T00:00:00"/>
    <x v="5"/>
    <x v="5"/>
    <n v="4"/>
    <n v="0.63"/>
    <x v="1"/>
    <n v="0.71"/>
    <n v="0.66"/>
    <n v="-4.9496423073355729E-2"/>
    <n v="8.8000000000000007"/>
    <n v="72.900000000000006"/>
    <n v="1006.4"/>
    <n v="8"/>
    <n v="0"/>
  </r>
  <r>
    <x v="5"/>
    <d v="2019-07-01T00:00:00"/>
    <x v="6"/>
    <x v="6"/>
    <n v="1"/>
    <n v="0.7"/>
    <x v="1"/>
    <n v="0.73"/>
    <n v="-0.11"/>
    <n v="-8.7642221141039173E-2"/>
    <n v="8.6"/>
    <n v="68.5"/>
    <n v="1006.1"/>
    <n v="8"/>
    <n v="4"/>
  </r>
  <r>
    <x v="5"/>
    <d v="2019-08-01T00:00:00"/>
    <x v="7"/>
    <x v="7"/>
    <n v="1"/>
    <n v="0.64"/>
    <x v="1"/>
    <n v="0.7"/>
    <n v="-0.28999999999999998"/>
    <n v="-9.1556290490285769E-2"/>
    <n v="7.9"/>
    <n v="73.8"/>
    <n v="1004.6"/>
    <n v="3"/>
    <n v="1"/>
  </r>
  <r>
    <x v="5"/>
    <d v="2019-09-01T00:00:00"/>
    <x v="8"/>
    <x v="8"/>
    <n v="1"/>
    <n v="0.49"/>
    <x v="0"/>
    <n v="0.48"/>
    <n v="0.43"/>
    <n v="-9.9762723777022499E-2"/>
    <n v="8.5"/>
    <n v="69.8"/>
    <n v="1005.9"/>
    <n v="2"/>
    <n v="1"/>
  </r>
  <r>
    <x v="5"/>
    <d v="2019-10-01T00:00:00"/>
    <x v="9"/>
    <x v="9"/>
    <n v="3"/>
    <n v="0.73"/>
    <x v="1"/>
    <n v="0.79"/>
    <n v="-0.34"/>
    <n v="-9.4355218415487593E-2"/>
    <n v="9.3000000000000007"/>
    <n v="69.400000000000006"/>
    <n v="1004.1"/>
    <n v="6"/>
    <n v="1"/>
  </r>
  <r>
    <x v="5"/>
    <d v="2019-11-01T00:00:00"/>
    <x v="10"/>
    <x v="10"/>
    <n v="3"/>
    <n v="0.72"/>
    <x v="1"/>
    <n v="0.77"/>
    <n v="-0.45"/>
    <n v="-7.9744145001669431E-2"/>
    <n v="9.5"/>
    <n v="66.8"/>
    <n v="1008"/>
    <n v="2"/>
    <n v="3"/>
  </r>
  <r>
    <x v="5"/>
    <d v="2019-12-01T00:00:00"/>
    <x v="11"/>
    <x v="11"/>
    <n v="0"/>
    <n v="0.66"/>
    <x v="1"/>
    <n v="0.59"/>
    <n v="-0.1"/>
    <n v="-6.0234100586494609E-2"/>
    <n v="11.6"/>
    <n v="54.8"/>
    <n v="1009.5"/>
    <n v="0"/>
    <n v="3"/>
  </r>
  <r>
    <x v="6"/>
    <d v="2020-01-01T00:00:00"/>
    <x v="0"/>
    <x v="0"/>
    <n v="0"/>
    <n v="-0.98"/>
    <x v="2"/>
    <n v="-0.98"/>
    <n v="-0.12"/>
    <n v="-7.1096242431691145E-2"/>
    <n v="12"/>
    <n v="58.5"/>
    <n v="1008.4"/>
    <n v="4"/>
    <n v="0"/>
  </r>
  <r>
    <x v="6"/>
    <d v="2020-02-01T00:00:00"/>
    <x v="1"/>
    <x v="1"/>
    <n v="3"/>
    <n v="-1.07"/>
    <x v="2"/>
    <n v="-1.1000000000000001"/>
    <n v="-0.16"/>
    <n v="-8.3661597741433391E-2"/>
    <n v="12.3"/>
    <n v="51.1"/>
    <n v="1010.9"/>
    <n v="8"/>
    <n v="0"/>
  </r>
  <r>
    <x v="6"/>
    <d v="2020-03-01T00:00:00"/>
    <x v="2"/>
    <x v="2"/>
    <n v="0"/>
    <n v="-0.96"/>
    <x v="2"/>
    <n v="-0.89"/>
    <n v="0.5"/>
    <n v="-7.3550747718197418E-2"/>
    <n v="14"/>
    <n v="51.7"/>
    <n v="1010.3"/>
    <n v="4"/>
    <n v="3"/>
  </r>
  <r>
    <x v="6"/>
    <d v="2020-04-01T00:00:00"/>
    <x v="3"/>
    <x v="3"/>
    <n v="0"/>
    <n v="-1"/>
    <x v="2"/>
    <n v="-0.97"/>
    <n v="0.62"/>
    <n v="-5.4849689778075722E-2"/>
    <n v="10.4"/>
    <n v="57.9"/>
    <n v="1007.4"/>
    <n v="6"/>
    <n v="0"/>
  </r>
  <r>
    <x v="6"/>
    <d v="2020-05-01T00:00:00"/>
    <x v="4"/>
    <x v="4"/>
    <n v="1"/>
    <n v="-0.99"/>
    <x v="2"/>
    <n v="-0.97"/>
    <n v="-0.12"/>
    <n v="-2.8309115774870042E-2"/>
    <n v="11.3"/>
    <n v="54.6"/>
    <n v="1008.6"/>
    <n v="2"/>
    <n v="0"/>
  </r>
  <r>
    <x v="6"/>
    <d v="2020-06-01T00:00:00"/>
    <x v="5"/>
    <x v="5"/>
    <n v="3"/>
    <n v="-0.91"/>
    <x v="2"/>
    <n v="-0.87"/>
    <n v="0.21"/>
    <n v="-3.3839950442120043E-2"/>
    <n v="7.5"/>
    <n v="67.8"/>
    <n v="1003.4"/>
    <n v="5"/>
    <n v="1"/>
  </r>
  <r>
    <x v="6"/>
    <d v="2020-07-01T00:00:00"/>
    <x v="6"/>
    <x v="6"/>
    <n v="2"/>
    <n v="-1.03"/>
    <x v="2"/>
    <n v="-1.03"/>
    <n v="0.52"/>
    <n v="-3.8348167785620432E-2"/>
    <n v="8"/>
    <n v="72.400000000000006"/>
    <n v="1006.2"/>
    <n v="6"/>
    <n v="3"/>
  </r>
  <r>
    <x v="6"/>
    <d v="2020-08-01T00:00:00"/>
    <x v="7"/>
    <x v="7"/>
    <n v="4"/>
    <n v="-1.0900000000000001"/>
    <x v="2"/>
    <n v="-1.19"/>
    <n v="-0.36"/>
    <n v="-4.2916413915191541E-2"/>
    <n v="8.5"/>
    <n v="68.900000000000006"/>
    <n v="1006.2"/>
    <n v="5"/>
    <n v="2"/>
  </r>
  <r>
    <x v="6"/>
    <d v="2020-09-01T00:00:00"/>
    <x v="8"/>
    <x v="8"/>
    <n v="3"/>
    <n v="-1.06"/>
    <x v="2"/>
    <n v="-1.05"/>
    <n v="0.37"/>
    <n v="-8.0664274143523364E-3"/>
    <n v="8.4"/>
    <n v="69.5"/>
    <n v="1005.3"/>
    <n v="1"/>
    <n v="4"/>
  </r>
  <r>
    <x v="6"/>
    <d v="2020-10-01T00:00:00"/>
    <x v="9"/>
    <x v="9"/>
    <n v="2"/>
    <n v="-1.02"/>
    <x v="2"/>
    <n v="-0.99"/>
    <n v="0.25"/>
    <n v="-2.0631321329270102E-2"/>
    <n v="9.9"/>
    <n v="61.6"/>
    <n v="1006.4"/>
    <n v="5"/>
    <n v="3"/>
  </r>
  <r>
    <x v="6"/>
    <d v="2020-11-01T00:00:00"/>
    <x v="10"/>
    <x v="10"/>
    <n v="3"/>
    <n v="-1.22"/>
    <x v="2"/>
    <n v="-1.27"/>
    <n v="0.47"/>
    <n v="-2.2573634006643001E-2"/>
    <n v="10"/>
    <n v="66.900000000000006"/>
    <n v="1006.7"/>
    <n v="5"/>
    <n v="2"/>
  </r>
  <r>
    <x v="6"/>
    <d v="2020-12-01T00:00:00"/>
    <x v="11"/>
    <x v="11"/>
    <n v="4"/>
    <n v="-0.84"/>
    <x v="2"/>
    <n v="-0.83"/>
    <n v="0.28999999999999998"/>
    <n v="-4.1475492018516344E-2"/>
    <n v="11.8"/>
    <n v="52.6"/>
    <n v="1010.2"/>
    <n v="8"/>
    <n v="3"/>
  </r>
  <r>
    <x v="7"/>
    <d v="2021-01-01T00:00:00"/>
    <x v="0"/>
    <x v="0"/>
    <n v="0"/>
    <n v="-0.67"/>
    <x v="2"/>
    <n v="-0.74"/>
    <n v="-0.1"/>
    <n v="-6.0188908454909269E-2"/>
    <n v="13.5"/>
    <n v="52.5"/>
    <n v="1010.6"/>
    <n v="7"/>
    <n v="4"/>
  </r>
  <r>
    <x v="7"/>
    <d v="2021-02-01T00:00:00"/>
    <x v="1"/>
    <x v="1"/>
    <n v="1"/>
    <n v="-0.7"/>
    <x v="2"/>
    <n v="-0.72"/>
    <n v="0.53"/>
    <n v="-7.1740021198250611E-2"/>
    <n v="13.5"/>
    <n v="53.8"/>
    <n v="1009.3"/>
    <n v="8"/>
    <n v="0"/>
  </r>
  <r>
    <x v="7"/>
    <d v="2021-03-01T00:00:00"/>
    <x v="2"/>
    <x v="2"/>
    <n v="0"/>
    <n v="-0.91"/>
    <x v="2"/>
    <n v="-0.94"/>
    <n v="-0.28000000000000003"/>
    <n v="-6.3339621130688403E-2"/>
    <n v="12.8"/>
    <n v="58.2"/>
    <n v="1009.4"/>
    <n v="4"/>
    <n v="1"/>
  </r>
  <r>
    <x v="7"/>
    <d v="2021-04-01T00:00:00"/>
    <x v="3"/>
    <x v="3"/>
    <n v="0"/>
    <n v="-0.89"/>
    <x v="2"/>
    <n v="-0.87"/>
    <n v="0.23"/>
    <n v="-8.7646701199414215E-2"/>
    <n v="10.7"/>
    <n v="56.7"/>
    <n v="1007.7"/>
    <n v="4"/>
    <n v="0"/>
  </r>
  <r>
    <x v="7"/>
    <d v="2021-05-01T00:00:00"/>
    <x v="4"/>
    <x v="4"/>
    <n v="0"/>
    <n v="-1"/>
    <x v="2"/>
    <n v="-0.99"/>
    <n v="0.36"/>
    <n v="-7.9275367633223875E-2"/>
    <n v="10.6"/>
    <n v="56.5"/>
    <n v="1008.5"/>
    <n v="0"/>
    <n v="0"/>
  </r>
  <r>
    <x v="7"/>
    <d v="2021-06-01T00:00:00"/>
    <x v="5"/>
    <x v="5"/>
    <n v="1"/>
    <n v="-0.87"/>
    <x v="2"/>
    <n v="-0.93"/>
    <n v="-0.13"/>
    <n v="-6.1903968400281839E-2"/>
    <n v="7.7"/>
    <n v="71.5"/>
    <n v="1005.2"/>
    <n v="8"/>
    <n v="0"/>
  </r>
  <r>
    <x v="7"/>
    <d v="2021-07-01T00:00:00"/>
    <x v="6"/>
    <x v="6"/>
    <n v="0"/>
    <n v="-0.81"/>
    <x v="2"/>
    <n v="-0.81"/>
    <n v="0.49"/>
    <n v="-6.8482201952588556E-2"/>
    <n v="7.8"/>
    <n v="69.900000000000006"/>
    <n v="1005.4"/>
    <n v="3"/>
    <n v="1"/>
  </r>
  <r>
    <x v="7"/>
    <d v="2021-08-01T00:00:00"/>
    <x v="7"/>
    <x v="7"/>
    <n v="3"/>
    <n v="-0.87"/>
    <x v="2"/>
    <n v="-0.9"/>
    <n v="0.13"/>
    <n v="-4.0719798730663705E-2"/>
    <n v="8.8000000000000007"/>
    <n v="69.8"/>
    <n v="1005.5"/>
    <n v="4"/>
    <n v="0"/>
  </r>
  <r>
    <x v="7"/>
    <d v="2021-09-01T00:00:00"/>
    <x v="8"/>
    <x v="8"/>
    <n v="2"/>
    <n v="-0.88"/>
    <x v="2"/>
    <n v="-0.94"/>
    <n v="-0.09"/>
    <n v="-4.3920267511119736E-2"/>
    <n v="7.8"/>
    <n v="74.400000000000006"/>
    <n v="1004.4"/>
    <n v="4"/>
    <n v="3"/>
  </r>
  <r>
    <x v="7"/>
    <d v="2021-10-01T00:00:00"/>
    <x v="9"/>
    <x v="9"/>
    <n v="3"/>
    <n v="-1.07"/>
    <x v="2"/>
    <n v="-0.96"/>
    <n v="0.63"/>
    <n v="-4.2358024353662843E-2"/>
    <n v="9"/>
    <n v="65.2"/>
    <n v="1006.2"/>
    <n v="1"/>
    <n v="2"/>
  </r>
  <r>
    <x v="7"/>
    <d v="2021-11-01T00:00:00"/>
    <x v="10"/>
    <x v="10"/>
    <n v="1"/>
    <n v="-0.92"/>
    <x v="2"/>
    <n v="-0.86"/>
    <n v="0.35"/>
    <n v="-7.5734176949594612E-2"/>
    <n v="9.3000000000000007"/>
    <n v="62.5"/>
    <n v="1006.5"/>
    <n v="3"/>
    <n v="3"/>
  </r>
  <r>
    <x v="7"/>
    <d v="2021-12-01T00:00:00"/>
    <x v="11"/>
    <x v="11"/>
    <n v="3"/>
    <n v="-0.75"/>
    <x v="2"/>
    <n v="-0.64"/>
    <n v="0.28999999999999998"/>
    <n v="-6.7443600212300975E-2"/>
    <n v="12.4"/>
    <n v="54.4"/>
    <n v="1010"/>
    <n v="6"/>
    <n v="1"/>
  </r>
  <r>
    <x v="8"/>
    <d v="2022-01-01T00:00:00"/>
    <x v="0"/>
    <x v="0"/>
    <n v="0"/>
    <n v="-0.93"/>
    <x v="2"/>
    <n v="-0.95"/>
    <n v="-0.37"/>
    <n v="-8.232455845823082E-2"/>
    <n v="12.3"/>
    <n v="58.8"/>
    <n v="1010.4"/>
    <n v="2"/>
    <n v="3"/>
  </r>
  <r>
    <x v="8"/>
    <d v="2022-02-01T00:00:00"/>
    <x v="1"/>
    <x v="1"/>
    <n v="0"/>
    <n v="-1.25"/>
    <x v="2"/>
    <n v="-1.29"/>
    <n v="-0.26"/>
    <n v="-0.11933958968223371"/>
    <n v="12.3"/>
    <n v="57.7"/>
    <n v="1010.2"/>
    <n v="1"/>
    <n v="0"/>
  </r>
  <r>
    <x v="8"/>
    <d v="2022-03-01T00:00:00"/>
    <x v="2"/>
    <x v="2"/>
    <n v="0"/>
    <n v="-1.0900000000000001"/>
    <x v="2"/>
    <n v="-1.1000000000000001"/>
    <n v="-0.08"/>
    <n v="-0.15008958143407264"/>
    <n v="13"/>
    <n v="52.8"/>
    <n v="1009.6"/>
    <n v="6"/>
    <n v="0"/>
  </r>
  <r>
    <x v="8"/>
    <d v="2022-04-01T00:00:00"/>
    <x v="3"/>
    <x v="3"/>
    <n v="1"/>
    <n v="-1.3"/>
    <x v="2"/>
    <n v="-1.29"/>
    <n v="0.31"/>
    <n v="-0.16576562653857721"/>
    <n v="10.4"/>
    <n v="63.2"/>
    <n v="1007"/>
    <n v="6"/>
    <n v="0"/>
  </r>
  <r>
    <x v="8"/>
    <d v="2022-05-01T00:00:00"/>
    <x v="4"/>
    <x v="4"/>
    <n v="1"/>
    <n v="-1.1499999999999999"/>
    <x v="2"/>
    <n v="-1.19"/>
    <n v="-0.5"/>
    <n v="-0.15753780334788239"/>
    <n v="10.8"/>
    <n v="63.2"/>
    <n v="1007.7"/>
    <n v="5"/>
    <n v="1"/>
  </r>
  <r>
    <x v="8"/>
    <d v="2022-06-01T00:00:00"/>
    <x v="5"/>
    <x v="5"/>
    <n v="1"/>
    <n v="-1.32"/>
    <x v="2"/>
    <n v="-1.47"/>
    <n v="-0.03"/>
    <n v="-0.19410338397284249"/>
    <n v="8.5"/>
    <n v="75.7"/>
    <n v="1004.5"/>
    <n v="6"/>
    <n v="1"/>
  </r>
  <r>
    <x v="8"/>
    <d v="2022-07-01T00:00:00"/>
    <x v="6"/>
    <x v="6"/>
    <n v="5"/>
    <n v="-1.1000000000000001"/>
    <x v="2"/>
    <n v="-1.1100000000000001"/>
    <n v="0.13"/>
    <n v="-0.20074753940958159"/>
    <n v="7.6"/>
    <n v="75.099999999999994"/>
    <n v="1005.7"/>
    <n v="2"/>
    <n v="1"/>
  </r>
  <r>
    <x v="8"/>
    <d v="2022-08-01T00:00:00"/>
    <x v="7"/>
    <x v="7"/>
    <n v="1"/>
    <n v="-1.25"/>
    <x v="2"/>
    <n v="-1.27"/>
    <n v="0.13"/>
    <n v="-0.21607202597482075"/>
    <n v="8.1"/>
    <n v="67.599999999999994"/>
    <n v="1004.5"/>
    <n v="5"/>
    <n v="5"/>
  </r>
  <r>
    <x v="8"/>
    <d v="2022-09-01T00:00:00"/>
    <x v="8"/>
    <x v="8"/>
    <n v="2"/>
    <n v="-1.17"/>
    <x v="2"/>
    <n v="-1.1399999999999999"/>
    <n v="0.22"/>
    <n v="-0.21466426923399456"/>
    <n v="7.5"/>
    <n v="73"/>
    <n v="1003.6"/>
    <n v="2"/>
    <n v="1"/>
  </r>
  <r>
    <x v="8"/>
    <d v="2022-10-01T00:00:00"/>
    <x v="9"/>
    <x v="9"/>
    <n v="1"/>
    <n v="-1.28"/>
    <x v="2"/>
    <n v="-1.26"/>
    <n v="0.17"/>
    <n v="-0.21657436276575229"/>
    <n v="9.3000000000000007"/>
    <n v="64"/>
    <n v="1004.1"/>
    <n v="4"/>
    <n v="2"/>
  </r>
  <r>
    <x v="8"/>
    <d v="2022-11-01T00:00:00"/>
    <x v="10"/>
    <x v="10"/>
    <n v="1"/>
    <n v="-1.04"/>
    <x v="2"/>
    <n v="-1.01"/>
    <n v="0.36"/>
    <n v="-0.21310871399289841"/>
    <n v="9.8000000000000007"/>
    <n v="62.1"/>
    <n v="1006.7"/>
    <n v="7"/>
    <n v="1"/>
  </r>
  <r>
    <x v="8"/>
    <d v="2022-12-01T00:00:00"/>
    <x v="11"/>
    <x v="11"/>
    <n v="0"/>
    <n v="-1.38"/>
    <x v="2"/>
    <n v="-1.37"/>
    <n v="0.06"/>
    <n v="-0.20248687911060137"/>
    <n v="12.7"/>
    <n v="57.3"/>
    <n v="1010.3"/>
    <n v="1"/>
    <n v="1"/>
  </r>
  <r>
    <x v="9"/>
    <d v="2023-01-01T00:00:00"/>
    <x v="0"/>
    <x v="0"/>
    <n v="2"/>
    <n v="0.05"/>
    <x v="0"/>
    <n v="0.06"/>
    <n v="-0.48"/>
    <n v="-0.20616923152144631"/>
    <n v="13.1"/>
    <n v="57.2"/>
    <n v="1009.8"/>
    <n v="5"/>
    <n v="0"/>
  </r>
  <r>
    <x v="9"/>
    <d v="2023-02-01T00:00:00"/>
    <x v="1"/>
    <x v="1"/>
    <n v="0"/>
    <n v="0.02"/>
    <x v="0"/>
    <n v="-0.03"/>
    <n v="0.32"/>
    <n v="-0.21978547519356445"/>
    <n v="12.7"/>
    <n v="62"/>
    <n v="1008.3"/>
    <n v="6"/>
    <n v="2"/>
  </r>
  <r>
    <x v="9"/>
    <d v="2023-03-01T00:00:00"/>
    <x v="2"/>
    <x v="2"/>
    <n v="0"/>
    <n v="-0.1"/>
    <x v="0"/>
    <n v="-0.04"/>
    <n v="-0.44"/>
    <n v="-0.19593507923772488"/>
    <n v="12.9"/>
    <n v="48.2"/>
    <n v="1009.5"/>
    <n v="8"/>
    <n v="0"/>
  </r>
  <r>
    <x v="9"/>
    <d v="2023-04-01T00:00:00"/>
    <x v="3"/>
    <x v="3"/>
    <n v="0"/>
    <n v="0.03"/>
    <x v="0"/>
    <n v="0.03"/>
    <n v="0.06"/>
    <n v="-0.29212108858740982"/>
    <n v="10.3"/>
    <n v="55.8"/>
    <n v="1008.4"/>
    <n v="1"/>
    <n v="0"/>
  </r>
  <r>
    <x v="9"/>
    <d v="2023-05-01T00:00:00"/>
    <x v="4"/>
    <x v="4"/>
    <n v="0"/>
    <n v="7.0000000000000007E-2"/>
    <x v="0"/>
    <n v="0.05"/>
    <n v="-0.03"/>
    <n v="-0.30597155685601879"/>
    <n v="10.9"/>
    <n v="57.3"/>
    <n v="1007"/>
    <n v="2"/>
    <n v="0"/>
  </r>
  <r>
    <x v="9"/>
    <d v="2023-06-01T00:00:00"/>
    <x v="5"/>
    <x v="5"/>
    <n v="0"/>
    <n v="0.09"/>
    <x v="0"/>
    <n v="0.05"/>
    <n v="0.54"/>
    <n v="-0.33962038890966251"/>
    <n v="8.6999999999999993"/>
    <n v="70.099999999999994"/>
    <n v="1006.1"/>
    <n v="1"/>
    <n v="0"/>
  </r>
  <r>
    <x v="9"/>
    <d v="2023-07-01T00:00:00"/>
    <x v="6"/>
    <x v="6"/>
    <n v="1"/>
    <n v="0.12"/>
    <x v="0"/>
    <n v="0.05"/>
    <n v="0.39"/>
    <n v="-0.28293124228792388"/>
    <n v="8"/>
    <n v="71.7"/>
    <n v="1004.4"/>
    <n v="2"/>
    <n v="0"/>
  </r>
  <r>
    <x v="9"/>
    <d v="2023-08-01T00:00:00"/>
    <x v="7"/>
    <x v="7"/>
    <n v="2"/>
    <n v="-0.04"/>
    <x v="0"/>
    <n v="-0.01"/>
    <n v="0.53"/>
    <n v="-0.25397281337335764"/>
    <n v="8.3000000000000007"/>
    <n v="69.5"/>
    <n v="1003.1"/>
    <n v="2"/>
    <n v="1"/>
  </r>
  <r>
    <x v="9"/>
    <d v="2023-09-01T00:00:00"/>
    <x v="8"/>
    <x v="8"/>
    <n v="5"/>
    <n v="0.01"/>
    <x v="0"/>
    <n v="0.05"/>
    <n v="0.27"/>
    <n v="-0.24609858811430146"/>
    <n v="8.1"/>
    <n v="65.2"/>
    <n v="1004.3"/>
    <n v="4"/>
    <n v="2"/>
  </r>
  <r>
    <x v="9"/>
    <d v="2023-10-01T00:00:00"/>
    <x v="9"/>
    <x v="9"/>
    <n v="2"/>
    <n v="0.17"/>
    <x v="0"/>
    <n v="0.2"/>
    <n v="-0.11"/>
    <n v="-0.31345314364643728"/>
    <n v="9.3000000000000007"/>
    <n v="60.9"/>
    <n v="1005.1"/>
    <n v="3"/>
    <n v="5"/>
  </r>
  <r>
    <x v="9"/>
    <d v="2023-11-01T00:00:00"/>
    <x v="10"/>
    <x v="10"/>
    <n v="2"/>
    <n v="0"/>
    <x v="0"/>
    <n v="-0.16"/>
    <n v="-0.36"/>
    <n v="-0.32370565800761214"/>
    <n v="10"/>
    <n v="67.5"/>
    <n v="1007.5"/>
    <n v="5"/>
    <n v="2"/>
  </r>
  <r>
    <x v="9"/>
    <d v="2023-12-01T00:00:00"/>
    <x v="11"/>
    <x v="11"/>
    <n v="1"/>
    <n v="0.03"/>
    <x v="0"/>
    <n v="0.05"/>
    <n v="0"/>
    <n v="-0.37224394677359862"/>
    <n v="12.7"/>
    <n v="51.9"/>
    <n v="1010.2"/>
    <n v="8"/>
    <n v="2"/>
  </r>
  <r>
    <x v="10"/>
    <d v="2024-01-01T00:00:00"/>
    <x v="0"/>
    <x v="0"/>
    <n v="0"/>
    <n v="0.94"/>
    <x v="1"/>
    <n v="0.97"/>
    <n v="0.16"/>
    <n v="-0.39132697973218639"/>
    <n v="12.7"/>
    <n v="55.8"/>
    <n v="1010.7"/>
    <n v="7"/>
    <n v="1"/>
  </r>
  <r>
    <x v="10"/>
    <d v="2024-02-01T00:00:00"/>
    <x v="1"/>
    <x v="1"/>
    <n v="1"/>
    <n v="0.96"/>
    <x v="1"/>
    <n v="0.94"/>
    <n v="0.15"/>
    <n v="-0.38480997969604863"/>
    <n v="12.1"/>
    <n v="54.8"/>
    <n v="1009"/>
    <n v="6"/>
    <n v="0"/>
  </r>
  <r>
    <x v="10"/>
    <d v="2024-03-01T00:00:00"/>
    <x v="2"/>
    <x v="2"/>
    <n v="1"/>
    <n v="0.87"/>
    <x v="1"/>
    <n v="0.77"/>
    <n v="0.53"/>
    <n v="-0.37636094173304374"/>
    <n v="12.6"/>
    <n v="51.8"/>
    <n v="1009.4"/>
    <n v="0"/>
    <n v="1"/>
  </r>
  <r>
    <x v="10"/>
    <d v="2024-04-01T00:00:00"/>
    <x v="3"/>
    <x v="3"/>
    <n v="0"/>
    <n v="1.06"/>
    <x v="1"/>
    <n v="1.05"/>
    <n v="-0.15"/>
    <n v="-0.2871110013968593"/>
    <n v="10.3"/>
    <n v="63.2"/>
    <n v="1007.7"/>
    <n v="2"/>
    <n v="1"/>
  </r>
  <r>
    <x v="10"/>
    <d v="2024-05-01T00:00:00"/>
    <x v="4"/>
    <x v="4"/>
    <n v="1"/>
    <n v="0.84"/>
    <x v="1"/>
    <n v="0.82"/>
    <n v="-0.08"/>
    <n v="-0.41935070907503136"/>
    <n v="11.3"/>
    <n v="61.7"/>
    <n v="1007.4"/>
    <n v="8"/>
    <n v="0"/>
  </r>
  <r>
    <x v="10"/>
    <d v="2024-06-01T00:00:00"/>
    <x v="5"/>
    <x v="5"/>
    <n v="5"/>
    <n v="1.04"/>
    <x v="1"/>
    <n v="1"/>
    <n v="-0.38"/>
    <n v="-0.52667457513167237"/>
    <n v="7.8"/>
    <n v="69.3"/>
    <n v="1004.3"/>
    <n v="6"/>
    <n v="1"/>
  </r>
  <r>
    <x v="10"/>
    <d v="2024-07-01T00:00:00"/>
    <x v="6"/>
    <x v="6"/>
    <n v="8"/>
    <n v="0.89"/>
    <x v="1"/>
    <n v="0.92"/>
    <n v="-0.02"/>
    <n v="-0.53899748608380493"/>
    <n v="7.9"/>
    <n v="68.8"/>
    <n v="1003.3"/>
    <n v="5"/>
    <n v="5"/>
  </r>
  <r>
    <x v="10"/>
    <d v="2024-08-01T00:00:00"/>
    <x v="7"/>
    <x v="7"/>
    <n v="7"/>
    <n v="0.95"/>
    <x v="1"/>
    <n v="0.91"/>
    <n v="-0.24"/>
    <n v="-0.5849472103581238"/>
    <n v="7.6"/>
    <n v="65.7"/>
    <n v="1005.3"/>
    <n v="0"/>
    <n v="8"/>
  </r>
  <r>
    <x v="10"/>
    <d v="2024-09-01T00:00:00"/>
    <x v="8"/>
    <x v="8"/>
    <n v="3"/>
    <n v="0.96"/>
    <x v="1"/>
    <n v="0.93"/>
    <n v="-0.35"/>
    <n v="-0.3108733995019613"/>
    <n v="8.9"/>
    <n v="73.900000000000006"/>
    <n v="1005"/>
    <n v="2"/>
    <n v="7"/>
  </r>
  <r>
    <x v="10"/>
    <d v="2024-10-01T00:00:00"/>
    <x v="9"/>
    <x v="9"/>
    <n v="2"/>
    <n v="0.99"/>
    <x v="1"/>
    <n v="0.94"/>
    <n v="0.31"/>
    <n v="-0.29847618621504846"/>
    <n v="9.1"/>
    <n v="59.2"/>
    <n v="1005.7"/>
    <n v="6"/>
    <n v="3"/>
  </r>
  <r>
    <x v="10"/>
    <d v="2024-11-01T00:00:00"/>
    <x v="10"/>
    <x v="10"/>
    <n v="4"/>
    <n v="1.06"/>
    <x v="1"/>
    <n v="1.02"/>
    <n v="0.41"/>
    <n v="-1"/>
    <n v="9.6999999999999993"/>
    <n v="62.2"/>
    <n v="1008.4"/>
    <n v="5"/>
    <n v="2"/>
  </r>
  <r>
    <x v="10"/>
    <d v="2024-12-01T00:00:00"/>
    <x v="11"/>
    <x v="11"/>
    <n v="1"/>
    <n v="1.0900000000000001"/>
    <x v="1"/>
    <n v="1.0900000000000001"/>
    <n v="0.5"/>
    <s v="N/A"/>
    <n v="12.5"/>
    <n v="57.8"/>
    <n v="1009.3"/>
    <n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C0710-592D-4F0C-9145-669086DAB3D0}" name="PivotTable1" cacheId="14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5">
  <location ref="A1:B3" firstHeaderRow="1" firstDataRow="1" firstDataCol="1"/>
  <pivotFields count="15">
    <pivotField compact="0" outline="0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t="default"/>
      </items>
    </pivotField>
    <pivotField compact="0" numFmtId="1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dataField="1"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2">
    <i>
      <x v="6"/>
    </i>
    <i t="grand">
      <x/>
    </i>
  </rowItems>
  <colItems count="1">
    <i/>
  </colItems>
  <dataFields count="1">
    <dataField name="Sum of Number_of_Typhoons" fld="4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FBA78-EBA9-47CC-A0A1-67717A6F7A3A}" name="PivotTable5" cacheId="1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7:D49" firstHeaderRow="0" firstDataRow="1" firstDataCol="1"/>
  <pivotFields count="15">
    <pivotField compact="0" outline="0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t="default"/>
      </items>
    </pivotField>
    <pivotField compact="0" numFmtId="14" outline="0" showAll="0"/>
    <pivotField compact="0" outline="0" showAll="0"/>
    <pivotField compact="0" outline="0" showAll="0">
      <items count="13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dataField="1"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1">
    <field x="6"/>
  </rowFields>
  <rowItems count="2"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Number_of_Typhoons" fld="4" subtotal="average" baseField="0" baseItem="0"/>
    <dataField name="Average of Midlevel_Humidity" fld="11" subtotal="average" baseField="0" baseItem="0"/>
    <dataField name="Average of SeaLevelPressure" fld="12" subtotal="average" baseField="0" baseItem="0"/>
  </dataFields>
  <formats count="11">
    <format dxfId="4">
      <pivotArea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5">
      <pivotArea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6">
      <pivotArea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format>
    <format dxfId="7">
      <pivotArea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format>
    <format dxfId="8">
      <pivotArea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format>
    <format dxfId="9">
      <pivotArea outline="0" fieldPosition="0">
        <references count="2">
          <reference field="4294967294" count="1" selected="0">
            <x v="2"/>
          </reference>
          <reference field="6" count="1" selected="0">
            <x v="0"/>
          </reference>
        </references>
      </pivotArea>
    </format>
    <format dxfId="10">
      <pivotArea outline="0" fieldPosition="0">
        <references count="2">
          <reference field="4294967294" count="1" selected="0">
            <x v="2"/>
          </reference>
          <reference field="6" count="1" selected="0">
            <x v="1"/>
          </reference>
        </references>
      </pivotArea>
    </format>
    <format dxfId="11">
      <pivotArea outline="0" fieldPosition="0">
        <references count="2">
          <reference field="4294967294" count="1" selected="0">
            <x v="2"/>
          </reference>
          <reference field="6" count="1" selected="0">
            <x v="2"/>
          </reference>
        </references>
      </pivotArea>
    </format>
    <format dxfId="12">
      <pivotArea field="6" grandRow="1" outline="0" axis="axisRow" fieldPosition="0">
        <references count="1">
          <reference field="4294967294" count="1" selected="0">
            <x v="2"/>
          </reference>
        </references>
      </pivotArea>
    </format>
    <format dxfId="13">
      <pivotArea field="6" grandRow="1" outline="0" axis="axisRow" fieldPosition="0">
        <references count="1">
          <reference field="4294967294" count="1" selected="0">
            <x v="1"/>
          </reference>
        </references>
      </pivotArea>
    </format>
    <format dxfId="14">
      <pivotArea field="6" grandRow="1" outline="0" axis="axisRow" fieldPosition="0">
        <references count="1">
          <reference field="4294967294" count="1" selected="0">
            <x v="0"/>
          </reference>
        </references>
      </pivotArea>
    </format>
  </formats>
  <chartFormats count="1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E4206-B8D6-4521-8152-ABC75838BB99}" name="PivotTable4" cacheId="1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8:B20" firstHeaderRow="1" firstDataRow="1" firstDataCol="1"/>
  <pivotFields count="15">
    <pivotField compact="0" outline="0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t="default"/>
      </items>
    </pivotField>
    <pivotField compact="0" numFmtId="14" outline="0" showAll="0"/>
    <pivotField compact="0" outline="0" showAll="0"/>
    <pivotField compact="0" outline="0" showAll="0">
      <items count="13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dataField="1"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">
    <i>
      <x v="1"/>
    </i>
    <i t="grand">
      <x/>
    </i>
  </rowItems>
  <colItems count="1">
    <i/>
  </colItems>
  <dataFields count="1">
    <dataField name="Average of Number_of_Typhoons" fld="4" subtotal="average" baseField="0" baseItem="0"/>
  </dataFields>
  <formats count="4">
    <format dxfId="0">
      <pivotArea outline="0" fieldPosition="0">
        <references count="1">
          <reference field="6" count="1" selected="0">
            <x v="2"/>
          </reference>
        </references>
      </pivotArea>
    </format>
    <format dxfId="1">
      <pivotArea outline="0" fieldPosition="0">
        <references count="1">
          <reference field="6" count="1" selected="0">
            <x v="1"/>
          </reference>
        </references>
      </pivotArea>
    </format>
    <format dxfId="2">
      <pivotArea outline="0" fieldPosition="0">
        <references count="1">
          <reference field="6" count="1" selected="0">
            <x v="0"/>
          </reference>
        </references>
      </pivotArea>
    </format>
    <format dxfId="3">
      <pivotArea grandRow="1" outline="0" collapsedLevelsAreSubtotals="1" fieldPosition="0"/>
    </format>
  </formats>
  <chartFormats count="1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FED132E2-B41C-4CB1-B4A8-E5CE05921E60}" sourceName="Year">
  <pivotTables>
    <pivotTable tabId="3" name="PivotTable1"/>
    <pivotTable tabId="3" name="PivotTable5"/>
    <pivotTable tabId="3" name="PivotTable4"/>
  </pivotTables>
  <data>
    <tabular pivotCacheId="314350079">
      <items count="11">
        <i x="0"/>
        <i x="1"/>
        <i x="2"/>
        <i x="3"/>
        <i x="4"/>
        <i x="5"/>
        <i x="6"/>
        <i x="7"/>
        <i x="8" s="1"/>
        <i x="9"/>
        <i x="1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xed_Month" xr10:uid="{83EBDBEA-F40C-4E19-B1A1-8FD7048ACE8D}" sourceName="Fixed_Month">
  <pivotTables>
    <pivotTable tabId="3" name="PivotTable1"/>
    <pivotTable tabId="3" name="PivotTable5"/>
    <pivotTable tabId="3" name="PivotTable4"/>
  </pivotTables>
  <data>
    <tabular pivotCacheId="314350079">
      <items count="12">
        <i x="0"/>
        <i x="1"/>
        <i x="2"/>
        <i x="3"/>
        <i x="4"/>
        <i x="5"/>
        <i x="6" s="1"/>
        <i x="7"/>
        <i x="8"/>
        <i x="9"/>
        <i x="10"/>
        <i x="1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NI_Category" xr10:uid="{7BF5CEC8-21B3-4914-8E77-C21D456BAB91}" sourceName="ONI_Category">
  <pivotTables>
    <pivotTable tabId="3" name="PivotTable1"/>
    <pivotTable tabId="3" name="PivotTable5"/>
    <pivotTable tabId="3" name="PivotTable4"/>
  </pivotTables>
  <data>
    <tabular pivotCacheId="314350079">
      <items count="3">
        <i x="2" s="1"/>
        <i x="1" s="1" nd="1"/>
        <i x="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1E52AAC7-BE73-4146-9521-443DD06DE673}" cache="Slicer_Year" caption="Year" rowHeight="228600"/>
  <slicer name="Fixed_Month" xr10:uid="{80442D82-A262-4124-A68E-A6E889E8DD72}" cache="Slicer_Fixed_Month" caption="Fixed_Month" rowHeight="228600"/>
  <slicer name="ONI_Category" xr10:uid="{0EE134A0-EE39-4046-BDE0-3587BD595598}" cache="Slicer_ONI_Category" caption="ONI_Category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DD89188E-0611-4C77-813B-07DAF6999A74}" cache="Slicer_Year" caption="Year" rowHeight="228600"/>
  <slicer name="Fixed_Month 1" xr10:uid="{95415776-0BD3-4846-95B3-573EF6A112AC}" cache="Slicer_Fixed_Month" caption="Fixed_Month" rowHeight="228600"/>
  <slicer name="ONI_Category 1" xr10:uid="{919AAA5F-BFDF-4D65-9424-EA0B4A975CE0}" cache="Slicer_ONI_Category" caption="ONI_Category" startItem="1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D2E2-E508-4227-8C6B-9D723A7FBEB0}">
  <dimension ref="A1:O133"/>
  <sheetViews>
    <sheetView workbookViewId="0">
      <selection activeCell="H5" sqref="H5"/>
    </sheetView>
  </sheetViews>
  <sheetFormatPr defaultRowHeight="15"/>
  <cols>
    <col min="2" max="2" width="19" customWidth="1"/>
    <col min="4" max="4" width="12.140625" customWidth="1"/>
    <col min="5" max="5" width="20.140625" customWidth="1"/>
    <col min="7" max="7" width="14.42578125" customWidth="1"/>
    <col min="8" max="8" width="20.28515625" customWidth="1"/>
    <col min="9" max="11" width="19" customWidth="1"/>
    <col min="12" max="12" width="18" customWidth="1"/>
    <col min="13" max="13" width="16.140625" customWidth="1"/>
    <col min="14" max="14" width="11.28515625" customWidth="1"/>
    <col min="15" max="15" width="20.42578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2014</v>
      </c>
      <c r="B2" s="1">
        <f>DATE(A2,C2,1)</f>
        <v>41640</v>
      </c>
      <c r="C2">
        <v>1</v>
      </c>
      <c r="D2" t="str">
        <f>TEXT(DATE(A2,C2,1), "mmmm")</f>
        <v>January</v>
      </c>
      <c r="E2">
        <v>1</v>
      </c>
      <c r="F2">
        <v>0.03</v>
      </c>
      <c r="G2" t="str">
        <f>IF(F2&gt;=0.5, "El Niño", IF(F2&lt;=-0.5, "La Niña", "Neutral"))</f>
        <v>Neutral</v>
      </c>
      <c r="H2">
        <v>-0.05</v>
      </c>
      <c r="I2">
        <v>0.36</v>
      </c>
      <c r="J2">
        <f>IFERROR(CORREL(I2:I133, E2:E133), "N/A")</f>
        <v>-1.6885241096082724E-2</v>
      </c>
      <c r="K2">
        <v>13.2</v>
      </c>
      <c r="L2">
        <v>54.8</v>
      </c>
      <c r="M2">
        <v>1009.8</v>
      </c>
      <c r="N2">
        <v>0</v>
      </c>
      <c r="O2">
        <v>0</v>
      </c>
    </row>
    <row r="3" spans="1:15">
      <c r="A3">
        <v>2014</v>
      </c>
      <c r="B3" s="1">
        <f t="shared" ref="B3:B66" si="0">DATE(A3,C3,1)</f>
        <v>41671</v>
      </c>
      <c r="C3">
        <v>2</v>
      </c>
      <c r="D3" t="str">
        <f t="shared" ref="D3:D66" si="1">TEXT(DATE(A3,C3,1), "mmmm")</f>
        <v>February</v>
      </c>
      <c r="E3">
        <v>0</v>
      </c>
      <c r="F3">
        <v>0.2</v>
      </c>
      <c r="G3" t="str">
        <f t="shared" ref="G3:G66" si="2">IF(F3&gt;=0.5, "El Niño", IF(F3&lt;=-0.5, "La Niña", "Neutral"))</f>
        <v>Neutral</v>
      </c>
      <c r="H3">
        <v>0.18</v>
      </c>
      <c r="I3">
        <v>-0.43</v>
      </c>
      <c r="J3">
        <f t="shared" ref="J3:J66" si="3">IFERROR(CORREL(I3:I134, E3:E134), "N/A")</f>
        <v>-1.552977143562371E-2</v>
      </c>
      <c r="K3">
        <v>13.8</v>
      </c>
      <c r="L3">
        <v>59.5</v>
      </c>
      <c r="M3">
        <v>1009.5</v>
      </c>
      <c r="N3">
        <v>7</v>
      </c>
      <c r="O3">
        <v>1</v>
      </c>
    </row>
    <row r="4" spans="1:15">
      <c r="A4">
        <v>2014</v>
      </c>
      <c r="B4" s="1">
        <f t="shared" si="0"/>
        <v>41699</v>
      </c>
      <c r="C4">
        <v>3</v>
      </c>
      <c r="D4" t="str">
        <f t="shared" si="1"/>
        <v>March</v>
      </c>
      <c r="E4">
        <v>0</v>
      </c>
      <c r="F4">
        <v>0.02</v>
      </c>
      <c r="G4" t="str">
        <f t="shared" si="2"/>
        <v>Neutral</v>
      </c>
      <c r="H4">
        <v>0</v>
      </c>
      <c r="I4">
        <v>0.01</v>
      </c>
      <c r="J4">
        <f t="shared" si="3"/>
        <v>-2.7274052471542763E-2</v>
      </c>
      <c r="K4">
        <v>13</v>
      </c>
      <c r="L4">
        <v>49.3</v>
      </c>
      <c r="M4">
        <v>1009.4</v>
      </c>
      <c r="N4">
        <v>6</v>
      </c>
      <c r="O4">
        <v>0</v>
      </c>
    </row>
    <row r="5" spans="1:15">
      <c r="A5">
        <v>2014</v>
      </c>
      <c r="B5" s="1">
        <f t="shared" si="0"/>
        <v>41730</v>
      </c>
      <c r="C5">
        <v>4</v>
      </c>
      <c r="D5" t="str">
        <f t="shared" si="1"/>
        <v>April</v>
      </c>
      <c r="E5">
        <v>0</v>
      </c>
      <c r="F5">
        <v>0.13</v>
      </c>
      <c r="G5" t="str">
        <f t="shared" si="2"/>
        <v>Neutral</v>
      </c>
      <c r="H5">
        <v>7.0000000000000007E-2</v>
      </c>
      <c r="I5">
        <v>-0.15</v>
      </c>
      <c r="J5">
        <f t="shared" si="3"/>
        <v>-2.990693636035122E-2</v>
      </c>
      <c r="K5">
        <v>10.7</v>
      </c>
      <c r="L5">
        <v>57.8</v>
      </c>
      <c r="M5">
        <v>1008.2</v>
      </c>
      <c r="N5">
        <v>0</v>
      </c>
      <c r="O5">
        <v>0</v>
      </c>
    </row>
    <row r="6" spans="1:15">
      <c r="A6">
        <v>2014</v>
      </c>
      <c r="B6" s="1">
        <f t="shared" si="0"/>
        <v>41760</v>
      </c>
      <c r="C6">
        <v>5</v>
      </c>
      <c r="D6" t="str">
        <f t="shared" si="1"/>
        <v>May</v>
      </c>
      <c r="E6">
        <v>0</v>
      </c>
      <c r="F6">
        <v>-0.03</v>
      </c>
      <c r="G6" t="str">
        <f t="shared" si="2"/>
        <v>Neutral</v>
      </c>
      <c r="H6">
        <v>-0.05</v>
      </c>
      <c r="I6">
        <v>-0.41</v>
      </c>
      <c r="J6">
        <f t="shared" si="3"/>
        <v>-3.6073632527372737E-2</v>
      </c>
      <c r="K6">
        <v>11.1</v>
      </c>
      <c r="L6">
        <v>61.4</v>
      </c>
      <c r="M6">
        <v>1008.1</v>
      </c>
      <c r="N6">
        <v>3</v>
      </c>
      <c r="O6">
        <v>0</v>
      </c>
    </row>
    <row r="7" spans="1:15">
      <c r="A7">
        <v>2014</v>
      </c>
      <c r="B7" s="1">
        <f t="shared" si="0"/>
        <v>41791</v>
      </c>
      <c r="C7">
        <v>6</v>
      </c>
      <c r="D7" t="str">
        <f t="shared" si="1"/>
        <v>June</v>
      </c>
      <c r="E7">
        <v>3</v>
      </c>
      <c r="F7">
        <v>0.19</v>
      </c>
      <c r="G7" t="str">
        <f t="shared" si="2"/>
        <v>Neutral</v>
      </c>
      <c r="H7">
        <v>0.12</v>
      </c>
      <c r="I7">
        <v>0.02</v>
      </c>
      <c r="J7">
        <f t="shared" si="3"/>
        <v>-4.8377040382096378E-2</v>
      </c>
      <c r="K7">
        <v>8</v>
      </c>
      <c r="L7">
        <v>69.599999999999994</v>
      </c>
      <c r="M7">
        <v>1006.3</v>
      </c>
      <c r="N7">
        <v>1</v>
      </c>
      <c r="O7">
        <v>0</v>
      </c>
    </row>
    <row r="8" spans="1:15">
      <c r="A8">
        <v>2014</v>
      </c>
      <c r="B8" s="1">
        <f t="shared" si="0"/>
        <v>41821</v>
      </c>
      <c r="C8">
        <v>7</v>
      </c>
      <c r="D8" t="str">
        <f t="shared" si="1"/>
        <v>July</v>
      </c>
      <c r="E8">
        <v>3</v>
      </c>
      <c r="F8">
        <v>0.17</v>
      </c>
      <c r="G8" t="str">
        <f t="shared" si="2"/>
        <v>Neutral</v>
      </c>
      <c r="H8">
        <v>0.13</v>
      </c>
      <c r="I8">
        <v>0.55000000000000004</v>
      </c>
      <c r="J8">
        <f t="shared" si="3"/>
        <v>-4.5860626350125548E-2</v>
      </c>
      <c r="K8">
        <v>9</v>
      </c>
      <c r="L8">
        <v>70.400000000000006</v>
      </c>
      <c r="M8">
        <v>1006.4</v>
      </c>
      <c r="N8">
        <v>8</v>
      </c>
      <c r="O8">
        <v>3</v>
      </c>
    </row>
    <row r="9" spans="1:15">
      <c r="A9">
        <v>2014</v>
      </c>
      <c r="B9" s="1">
        <f t="shared" si="0"/>
        <v>41852</v>
      </c>
      <c r="C9">
        <v>8</v>
      </c>
      <c r="D9" t="str">
        <f t="shared" si="1"/>
        <v>August</v>
      </c>
      <c r="E9">
        <v>2</v>
      </c>
      <c r="F9">
        <v>0.12</v>
      </c>
      <c r="G9" t="str">
        <f t="shared" si="2"/>
        <v>Neutral</v>
      </c>
      <c r="H9">
        <v>0.05</v>
      </c>
      <c r="I9">
        <v>0.13</v>
      </c>
      <c r="J9">
        <f t="shared" si="3"/>
        <v>-5.5949965595756067E-2</v>
      </c>
      <c r="K9">
        <v>8</v>
      </c>
      <c r="L9">
        <v>70</v>
      </c>
      <c r="M9">
        <v>1005.2</v>
      </c>
      <c r="N9">
        <v>5</v>
      </c>
      <c r="O9">
        <v>3</v>
      </c>
    </row>
    <row r="10" spans="1:15">
      <c r="A10">
        <v>2014</v>
      </c>
      <c r="B10" s="1">
        <f t="shared" si="0"/>
        <v>41883</v>
      </c>
      <c r="C10">
        <v>9</v>
      </c>
      <c r="D10" t="str">
        <f t="shared" si="1"/>
        <v>September</v>
      </c>
      <c r="E10">
        <v>2</v>
      </c>
      <c r="F10">
        <v>-0.11</v>
      </c>
      <c r="G10" t="str">
        <f t="shared" si="2"/>
        <v>Neutral</v>
      </c>
      <c r="H10">
        <v>-0.05</v>
      </c>
      <c r="I10">
        <v>0.33</v>
      </c>
      <c r="J10">
        <f t="shared" si="3"/>
        <v>-5.5928915763993073E-2</v>
      </c>
      <c r="K10">
        <v>6.9</v>
      </c>
      <c r="L10">
        <v>73.099999999999994</v>
      </c>
      <c r="M10">
        <v>1004.7</v>
      </c>
      <c r="N10">
        <v>3</v>
      </c>
      <c r="O10">
        <v>2</v>
      </c>
    </row>
    <row r="11" spans="1:15">
      <c r="A11">
        <v>2014</v>
      </c>
      <c r="B11" s="1">
        <f t="shared" si="0"/>
        <v>41913</v>
      </c>
      <c r="C11">
        <v>10</v>
      </c>
      <c r="D11" t="str">
        <f t="shared" si="1"/>
        <v>October</v>
      </c>
      <c r="E11">
        <v>4</v>
      </c>
      <c r="F11">
        <v>-0.01</v>
      </c>
      <c r="G11" t="str">
        <f t="shared" si="2"/>
        <v>Neutral</v>
      </c>
      <c r="H11">
        <v>7.0000000000000007E-2</v>
      </c>
      <c r="I11">
        <v>-0.32</v>
      </c>
      <c r="J11">
        <f t="shared" si="3"/>
        <v>-5.769760852674239E-2</v>
      </c>
      <c r="K11">
        <v>9.4</v>
      </c>
      <c r="L11">
        <v>60.7</v>
      </c>
      <c r="M11">
        <v>1004.6</v>
      </c>
      <c r="N11">
        <v>8</v>
      </c>
      <c r="O11">
        <v>2</v>
      </c>
    </row>
    <row r="12" spans="1:15">
      <c r="A12">
        <v>2014</v>
      </c>
      <c r="B12" s="1">
        <f t="shared" si="0"/>
        <v>41944</v>
      </c>
      <c r="C12">
        <v>11</v>
      </c>
      <c r="D12" t="str">
        <f t="shared" si="1"/>
        <v>November</v>
      </c>
      <c r="E12">
        <v>1</v>
      </c>
      <c r="F12">
        <v>-0.01</v>
      </c>
      <c r="G12" t="str">
        <f t="shared" si="2"/>
        <v>Neutral</v>
      </c>
      <c r="H12">
        <v>0.04</v>
      </c>
      <c r="I12">
        <v>-0.27</v>
      </c>
      <c r="J12">
        <f t="shared" si="3"/>
        <v>-4.0698114062647617E-2</v>
      </c>
      <c r="K12">
        <v>10.4</v>
      </c>
      <c r="L12">
        <v>63.3</v>
      </c>
      <c r="M12">
        <v>1009.5</v>
      </c>
      <c r="N12">
        <v>1</v>
      </c>
      <c r="O12">
        <v>4</v>
      </c>
    </row>
    <row r="13" spans="1:15">
      <c r="A13">
        <v>2014</v>
      </c>
      <c r="B13" s="1">
        <f t="shared" si="0"/>
        <v>41974</v>
      </c>
      <c r="C13">
        <v>12</v>
      </c>
      <c r="D13" t="str">
        <f t="shared" si="1"/>
        <v>December</v>
      </c>
      <c r="E13">
        <v>0</v>
      </c>
      <c r="F13">
        <v>0.06</v>
      </c>
      <c r="G13" t="str">
        <f t="shared" si="2"/>
        <v>Neutral</v>
      </c>
      <c r="H13">
        <v>0.08</v>
      </c>
      <c r="I13">
        <v>-0.09</v>
      </c>
      <c r="J13">
        <f t="shared" si="3"/>
        <v>-4.3560242910094034E-2</v>
      </c>
      <c r="K13">
        <v>11.8</v>
      </c>
      <c r="L13">
        <v>61.4</v>
      </c>
      <c r="M13">
        <v>1011.1</v>
      </c>
      <c r="N13">
        <v>5</v>
      </c>
      <c r="O13">
        <v>1</v>
      </c>
    </row>
    <row r="14" spans="1:15">
      <c r="A14">
        <v>2015</v>
      </c>
      <c r="B14" s="1">
        <f t="shared" si="0"/>
        <v>42005</v>
      </c>
      <c r="C14">
        <v>1</v>
      </c>
      <c r="D14" t="str">
        <f t="shared" si="1"/>
        <v>January</v>
      </c>
      <c r="E14">
        <v>0</v>
      </c>
      <c r="F14">
        <v>1.52</v>
      </c>
      <c r="G14" t="str">
        <f t="shared" si="2"/>
        <v>El Niño</v>
      </c>
      <c r="H14">
        <v>1.55</v>
      </c>
      <c r="I14">
        <v>-0.08</v>
      </c>
      <c r="J14">
        <f t="shared" si="3"/>
        <v>-4.8911403144529089E-2</v>
      </c>
      <c r="K14">
        <v>11.9</v>
      </c>
      <c r="L14">
        <v>60.4</v>
      </c>
      <c r="M14">
        <v>1009.2</v>
      </c>
      <c r="N14">
        <v>3</v>
      </c>
      <c r="O14">
        <v>0</v>
      </c>
    </row>
    <row r="15" spans="1:15">
      <c r="A15">
        <v>2015</v>
      </c>
      <c r="B15" s="1">
        <f t="shared" si="0"/>
        <v>42036</v>
      </c>
      <c r="C15">
        <v>2</v>
      </c>
      <c r="D15" t="str">
        <f t="shared" si="1"/>
        <v>February</v>
      </c>
      <c r="E15">
        <v>1</v>
      </c>
      <c r="F15">
        <v>1.4</v>
      </c>
      <c r="G15" t="str">
        <f t="shared" si="2"/>
        <v>El Niño</v>
      </c>
      <c r="H15">
        <v>1.46</v>
      </c>
      <c r="I15">
        <v>0.55000000000000004</v>
      </c>
      <c r="J15">
        <f t="shared" si="3"/>
        <v>-5.4177670442164171E-2</v>
      </c>
      <c r="K15">
        <v>12.3</v>
      </c>
      <c r="L15">
        <v>58.1</v>
      </c>
      <c r="M15">
        <v>1009.6</v>
      </c>
      <c r="N15">
        <v>3</v>
      </c>
      <c r="O15">
        <v>0</v>
      </c>
    </row>
    <row r="16" spans="1:15">
      <c r="A16">
        <v>2015</v>
      </c>
      <c r="B16" s="1">
        <f t="shared" si="0"/>
        <v>42064</v>
      </c>
      <c r="C16">
        <v>3</v>
      </c>
      <c r="D16" t="str">
        <f t="shared" si="1"/>
        <v>March</v>
      </c>
      <c r="E16">
        <v>0</v>
      </c>
      <c r="F16">
        <v>1.48</v>
      </c>
      <c r="G16" t="str">
        <f t="shared" si="2"/>
        <v>El Niño</v>
      </c>
      <c r="H16">
        <v>1.41</v>
      </c>
      <c r="I16">
        <v>0.16</v>
      </c>
      <c r="J16">
        <f t="shared" si="3"/>
        <v>-5.1722391355397995E-2</v>
      </c>
      <c r="K16">
        <v>12.9</v>
      </c>
      <c r="L16">
        <v>53.3</v>
      </c>
      <c r="M16">
        <v>1010.1</v>
      </c>
      <c r="N16">
        <v>5</v>
      </c>
      <c r="O16">
        <v>1</v>
      </c>
    </row>
    <row r="17" spans="1:15">
      <c r="A17">
        <v>2015</v>
      </c>
      <c r="B17" s="1">
        <f t="shared" si="0"/>
        <v>42095</v>
      </c>
      <c r="C17">
        <v>4</v>
      </c>
      <c r="D17" t="str">
        <f t="shared" si="1"/>
        <v>April</v>
      </c>
      <c r="E17">
        <v>0</v>
      </c>
      <c r="F17">
        <v>1.57</v>
      </c>
      <c r="G17" t="str">
        <f t="shared" si="2"/>
        <v>El Niño</v>
      </c>
      <c r="H17">
        <v>1.63</v>
      </c>
      <c r="I17">
        <v>0</v>
      </c>
      <c r="J17">
        <f t="shared" si="3"/>
        <v>-5.1487643811829693E-2</v>
      </c>
      <c r="K17">
        <v>9.4</v>
      </c>
      <c r="L17">
        <v>58</v>
      </c>
      <c r="M17">
        <v>1006.9</v>
      </c>
      <c r="N17">
        <v>3</v>
      </c>
      <c r="O17">
        <v>0</v>
      </c>
    </row>
    <row r="18" spans="1:15">
      <c r="A18">
        <v>2015</v>
      </c>
      <c r="B18" s="1">
        <f t="shared" si="0"/>
        <v>42125</v>
      </c>
      <c r="C18">
        <v>5</v>
      </c>
      <c r="D18" t="str">
        <f t="shared" si="1"/>
        <v>May</v>
      </c>
      <c r="E18">
        <v>1</v>
      </c>
      <c r="F18">
        <v>1.61</v>
      </c>
      <c r="G18" t="str">
        <f t="shared" si="2"/>
        <v>El Niño</v>
      </c>
      <c r="H18">
        <v>1.54</v>
      </c>
      <c r="I18">
        <v>-0.37</v>
      </c>
      <c r="J18">
        <f t="shared" si="3"/>
        <v>-5.4998029949535301E-2</v>
      </c>
      <c r="K18">
        <v>11.4</v>
      </c>
      <c r="L18">
        <v>61</v>
      </c>
      <c r="M18">
        <v>1007.6</v>
      </c>
      <c r="N18">
        <v>3</v>
      </c>
      <c r="O18">
        <v>0</v>
      </c>
    </row>
    <row r="19" spans="1:15">
      <c r="A19">
        <v>2015</v>
      </c>
      <c r="B19" s="1">
        <f t="shared" si="0"/>
        <v>42156</v>
      </c>
      <c r="C19">
        <v>6</v>
      </c>
      <c r="D19" t="str">
        <f t="shared" si="1"/>
        <v>June</v>
      </c>
      <c r="E19">
        <v>0</v>
      </c>
      <c r="F19">
        <v>1.68</v>
      </c>
      <c r="G19" t="str">
        <f t="shared" si="2"/>
        <v>El Niño</v>
      </c>
      <c r="H19">
        <v>1.61</v>
      </c>
      <c r="I19">
        <v>0.56000000000000005</v>
      </c>
      <c r="J19">
        <f t="shared" si="3"/>
        <v>-5.9418147611847619E-2</v>
      </c>
      <c r="K19">
        <v>8.3000000000000007</v>
      </c>
      <c r="L19">
        <v>67.900000000000006</v>
      </c>
      <c r="M19">
        <v>1007</v>
      </c>
      <c r="N19">
        <v>8</v>
      </c>
      <c r="O19">
        <v>1</v>
      </c>
    </row>
    <row r="20" spans="1:15">
      <c r="A20">
        <v>2015</v>
      </c>
      <c r="B20" s="1">
        <f t="shared" si="0"/>
        <v>42186</v>
      </c>
      <c r="C20">
        <v>7</v>
      </c>
      <c r="D20" t="str">
        <f t="shared" si="1"/>
        <v>July</v>
      </c>
      <c r="E20">
        <v>0</v>
      </c>
      <c r="F20">
        <v>1.46</v>
      </c>
      <c r="G20" t="str">
        <f t="shared" si="2"/>
        <v>El Niño</v>
      </c>
      <c r="H20">
        <v>1.41</v>
      </c>
      <c r="I20">
        <v>0.03</v>
      </c>
      <c r="J20">
        <f t="shared" si="3"/>
        <v>-5.0141740396941602E-2</v>
      </c>
      <c r="K20">
        <v>7.5</v>
      </c>
      <c r="L20">
        <v>71.900000000000006</v>
      </c>
      <c r="M20">
        <v>1005.6</v>
      </c>
      <c r="N20">
        <v>8</v>
      </c>
      <c r="O20">
        <v>0</v>
      </c>
    </row>
    <row r="21" spans="1:15">
      <c r="A21">
        <v>2015</v>
      </c>
      <c r="B21" s="1">
        <f t="shared" si="0"/>
        <v>42217</v>
      </c>
      <c r="C21">
        <v>8</v>
      </c>
      <c r="D21" t="str">
        <f t="shared" si="1"/>
        <v>August</v>
      </c>
      <c r="E21">
        <v>1</v>
      </c>
      <c r="F21">
        <v>1.52</v>
      </c>
      <c r="G21" t="str">
        <f t="shared" si="2"/>
        <v>El Niño</v>
      </c>
      <c r="H21">
        <v>1.6</v>
      </c>
      <c r="I21">
        <v>-0.35</v>
      </c>
      <c r="J21">
        <f t="shared" si="3"/>
        <v>-5.311757075685837E-2</v>
      </c>
      <c r="K21">
        <v>7</v>
      </c>
      <c r="L21">
        <v>71.7</v>
      </c>
      <c r="M21">
        <v>1004.6</v>
      </c>
      <c r="N21">
        <v>1</v>
      </c>
      <c r="O21">
        <v>0</v>
      </c>
    </row>
    <row r="22" spans="1:15">
      <c r="A22">
        <v>2015</v>
      </c>
      <c r="B22" s="1">
        <f t="shared" si="0"/>
        <v>42248</v>
      </c>
      <c r="C22">
        <v>9</v>
      </c>
      <c r="D22" t="str">
        <f t="shared" si="1"/>
        <v>September</v>
      </c>
      <c r="E22">
        <v>1</v>
      </c>
      <c r="F22">
        <v>1.57</v>
      </c>
      <c r="G22" t="str">
        <f t="shared" si="2"/>
        <v>El Niño</v>
      </c>
      <c r="H22">
        <v>1.58</v>
      </c>
      <c r="I22">
        <v>0.2</v>
      </c>
      <c r="J22">
        <f t="shared" si="3"/>
        <v>-5.770384718630453E-2</v>
      </c>
      <c r="K22">
        <v>8.3000000000000007</v>
      </c>
      <c r="L22">
        <v>67.3</v>
      </c>
      <c r="M22">
        <v>1006.2</v>
      </c>
      <c r="N22">
        <v>7</v>
      </c>
      <c r="O22">
        <v>1</v>
      </c>
    </row>
    <row r="23" spans="1:15">
      <c r="A23">
        <v>2015</v>
      </c>
      <c r="B23" s="1">
        <f t="shared" si="0"/>
        <v>42278</v>
      </c>
      <c r="C23">
        <v>10</v>
      </c>
      <c r="D23" t="str">
        <f t="shared" si="1"/>
        <v>October</v>
      </c>
      <c r="E23">
        <v>1</v>
      </c>
      <c r="F23">
        <v>1.39</v>
      </c>
      <c r="G23" t="str">
        <f t="shared" si="2"/>
        <v>El Niño</v>
      </c>
      <c r="H23">
        <v>1.38</v>
      </c>
      <c r="I23">
        <v>-0.35</v>
      </c>
      <c r="J23">
        <f t="shared" si="3"/>
        <v>-5.7313708800707491E-2</v>
      </c>
      <c r="K23">
        <v>9.8000000000000007</v>
      </c>
      <c r="L23">
        <v>62.8</v>
      </c>
      <c r="M23">
        <v>1005.1</v>
      </c>
      <c r="N23">
        <v>0</v>
      </c>
      <c r="O23">
        <v>1</v>
      </c>
    </row>
    <row r="24" spans="1:15">
      <c r="A24">
        <v>2015</v>
      </c>
      <c r="B24" s="1">
        <f t="shared" si="0"/>
        <v>42309</v>
      </c>
      <c r="C24">
        <v>11</v>
      </c>
      <c r="D24" t="str">
        <f t="shared" si="1"/>
        <v>November</v>
      </c>
      <c r="E24">
        <v>3</v>
      </c>
      <c r="F24">
        <v>1.49</v>
      </c>
      <c r="G24" t="str">
        <f t="shared" si="2"/>
        <v>El Niño</v>
      </c>
      <c r="H24">
        <v>1.4</v>
      </c>
      <c r="I24">
        <v>0.68</v>
      </c>
      <c r="J24">
        <f t="shared" si="3"/>
        <v>-6.2115162371341855E-2</v>
      </c>
      <c r="K24">
        <v>9.5</v>
      </c>
      <c r="L24">
        <v>63.3</v>
      </c>
      <c r="M24">
        <v>1007.2</v>
      </c>
      <c r="N24">
        <v>5</v>
      </c>
      <c r="O24">
        <v>1</v>
      </c>
    </row>
    <row r="25" spans="1:15">
      <c r="A25">
        <v>2015</v>
      </c>
      <c r="B25" s="1">
        <f t="shared" si="0"/>
        <v>42339</v>
      </c>
      <c r="C25">
        <v>12</v>
      </c>
      <c r="D25" t="str">
        <f t="shared" si="1"/>
        <v>December</v>
      </c>
      <c r="E25">
        <v>1</v>
      </c>
      <c r="F25">
        <v>1.37</v>
      </c>
      <c r="G25" t="str">
        <f t="shared" si="2"/>
        <v>El Niño</v>
      </c>
      <c r="H25">
        <v>1.34</v>
      </c>
      <c r="I25">
        <v>0.51</v>
      </c>
      <c r="J25">
        <f t="shared" si="3"/>
        <v>-7.639958835426984E-2</v>
      </c>
      <c r="K25">
        <v>11.5</v>
      </c>
      <c r="L25">
        <v>54</v>
      </c>
      <c r="M25">
        <v>1009</v>
      </c>
      <c r="N25">
        <v>0</v>
      </c>
      <c r="O25">
        <v>3</v>
      </c>
    </row>
    <row r="26" spans="1:15">
      <c r="A26">
        <v>2016</v>
      </c>
      <c r="B26" s="1">
        <f t="shared" si="0"/>
        <v>42370</v>
      </c>
      <c r="C26">
        <v>1</v>
      </c>
      <c r="D26" t="str">
        <f t="shared" si="1"/>
        <v>January</v>
      </c>
      <c r="E26">
        <v>0</v>
      </c>
      <c r="F26">
        <v>-0.45</v>
      </c>
      <c r="G26" t="str">
        <f t="shared" si="2"/>
        <v>Neutral</v>
      </c>
      <c r="H26">
        <v>-0.49</v>
      </c>
      <c r="I26">
        <v>0.14000000000000001</v>
      </c>
      <c r="J26">
        <f t="shared" si="3"/>
        <v>-7.3785906928716088E-2</v>
      </c>
      <c r="K26">
        <v>12.3</v>
      </c>
      <c r="L26">
        <v>58</v>
      </c>
      <c r="M26">
        <v>1011.1</v>
      </c>
      <c r="N26">
        <v>1</v>
      </c>
      <c r="O26">
        <v>1</v>
      </c>
    </row>
    <row r="27" spans="1:15">
      <c r="A27">
        <v>2016</v>
      </c>
      <c r="B27" s="1">
        <f t="shared" si="0"/>
        <v>42401</v>
      </c>
      <c r="C27">
        <v>2</v>
      </c>
      <c r="D27" t="str">
        <f t="shared" si="1"/>
        <v>February</v>
      </c>
      <c r="E27">
        <v>0</v>
      </c>
      <c r="F27">
        <v>-0.5</v>
      </c>
      <c r="G27" t="str">
        <f t="shared" si="2"/>
        <v>La Niña</v>
      </c>
      <c r="H27">
        <v>-0.51</v>
      </c>
      <c r="I27">
        <v>0.68</v>
      </c>
      <c r="J27">
        <f t="shared" si="3"/>
        <v>-7.4208282919319177E-2</v>
      </c>
      <c r="K27">
        <v>12.9</v>
      </c>
      <c r="L27">
        <v>61.6</v>
      </c>
      <c r="M27">
        <v>1010.6</v>
      </c>
      <c r="N27">
        <v>0</v>
      </c>
      <c r="O27">
        <v>0</v>
      </c>
    </row>
    <row r="28" spans="1:15">
      <c r="A28">
        <v>2016</v>
      </c>
      <c r="B28" s="1">
        <f t="shared" si="0"/>
        <v>42430</v>
      </c>
      <c r="C28">
        <v>3</v>
      </c>
      <c r="D28" t="str">
        <f t="shared" si="1"/>
        <v>March</v>
      </c>
      <c r="E28">
        <v>0</v>
      </c>
      <c r="F28">
        <v>-0.53</v>
      </c>
      <c r="G28" t="str">
        <f t="shared" si="2"/>
        <v>La Niña</v>
      </c>
      <c r="H28">
        <v>-0.46</v>
      </c>
      <c r="I28">
        <v>-0.41</v>
      </c>
      <c r="J28">
        <f t="shared" si="3"/>
        <v>-6.1295843015886732E-2</v>
      </c>
      <c r="K28">
        <v>13</v>
      </c>
      <c r="L28">
        <v>51</v>
      </c>
      <c r="M28">
        <v>1008.4</v>
      </c>
      <c r="N28">
        <v>0</v>
      </c>
      <c r="O28">
        <v>0</v>
      </c>
    </row>
    <row r="29" spans="1:15">
      <c r="A29">
        <v>2016</v>
      </c>
      <c r="B29" s="1">
        <f t="shared" si="0"/>
        <v>42461</v>
      </c>
      <c r="C29">
        <v>4</v>
      </c>
      <c r="D29" t="str">
        <f t="shared" si="1"/>
        <v>April</v>
      </c>
      <c r="E29">
        <v>0</v>
      </c>
      <c r="F29">
        <v>-0.52</v>
      </c>
      <c r="G29" t="str">
        <f t="shared" si="2"/>
        <v>La Niña</v>
      </c>
      <c r="H29">
        <v>-0.6</v>
      </c>
      <c r="I29">
        <v>0.57999999999999996</v>
      </c>
      <c r="J29">
        <f t="shared" si="3"/>
        <v>-7.7266503204736617E-2</v>
      </c>
      <c r="K29">
        <v>11.4</v>
      </c>
      <c r="L29">
        <v>65</v>
      </c>
      <c r="M29">
        <v>1008.5</v>
      </c>
      <c r="N29">
        <v>5</v>
      </c>
      <c r="O29">
        <v>0</v>
      </c>
    </row>
    <row r="30" spans="1:15">
      <c r="A30">
        <v>2016</v>
      </c>
      <c r="B30" s="1">
        <f t="shared" si="0"/>
        <v>42491</v>
      </c>
      <c r="C30">
        <v>5</v>
      </c>
      <c r="D30" t="str">
        <f t="shared" si="1"/>
        <v>May</v>
      </c>
      <c r="E30">
        <v>0</v>
      </c>
      <c r="F30">
        <v>-0.57999999999999996</v>
      </c>
      <c r="G30" t="str">
        <f t="shared" si="2"/>
        <v>La Niña</v>
      </c>
      <c r="H30">
        <v>-0.57999999999999996</v>
      </c>
      <c r="I30">
        <v>0.69</v>
      </c>
      <c r="J30">
        <f t="shared" si="3"/>
        <v>-6.6200632462463008E-2</v>
      </c>
      <c r="K30">
        <v>10.7</v>
      </c>
      <c r="L30">
        <v>56</v>
      </c>
      <c r="M30">
        <v>1007.8</v>
      </c>
      <c r="N30">
        <v>1</v>
      </c>
      <c r="O30">
        <v>0</v>
      </c>
    </row>
    <row r="31" spans="1:15">
      <c r="A31">
        <v>2016</v>
      </c>
      <c r="B31" s="1">
        <f t="shared" si="0"/>
        <v>42522</v>
      </c>
      <c r="C31">
        <v>6</v>
      </c>
      <c r="D31" t="str">
        <f t="shared" si="1"/>
        <v>June</v>
      </c>
      <c r="E31">
        <v>3</v>
      </c>
      <c r="F31">
        <v>-0.52</v>
      </c>
      <c r="G31" t="str">
        <f t="shared" si="2"/>
        <v>La Niña</v>
      </c>
      <c r="H31">
        <v>-0.52</v>
      </c>
      <c r="I31">
        <v>0.16</v>
      </c>
      <c r="J31">
        <f t="shared" si="3"/>
        <v>-5.1763945167503336E-2</v>
      </c>
      <c r="K31">
        <v>7.4</v>
      </c>
      <c r="L31">
        <v>64.7</v>
      </c>
      <c r="M31">
        <v>1004.6</v>
      </c>
      <c r="N31">
        <v>8</v>
      </c>
      <c r="O31">
        <v>0</v>
      </c>
    </row>
    <row r="32" spans="1:15">
      <c r="A32">
        <v>2016</v>
      </c>
      <c r="B32" s="1">
        <f t="shared" si="0"/>
        <v>42552</v>
      </c>
      <c r="C32">
        <v>7</v>
      </c>
      <c r="D32" t="str">
        <f t="shared" si="1"/>
        <v>July</v>
      </c>
      <c r="E32">
        <v>1</v>
      </c>
      <c r="F32">
        <v>-0.47</v>
      </c>
      <c r="G32" t="str">
        <f t="shared" si="2"/>
        <v>Neutral</v>
      </c>
      <c r="H32">
        <v>-0.49</v>
      </c>
      <c r="I32">
        <v>-0.44</v>
      </c>
      <c r="J32">
        <f t="shared" si="3"/>
        <v>-5.2595831579272209E-2</v>
      </c>
      <c r="K32">
        <v>8.1999999999999993</v>
      </c>
      <c r="L32">
        <v>72.099999999999994</v>
      </c>
      <c r="M32">
        <v>1004.9</v>
      </c>
      <c r="N32">
        <v>3</v>
      </c>
      <c r="O32">
        <v>3</v>
      </c>
    </row>
    <row r="33" spans="1:15">
      <c r="A33">
        <v>2016</v>
      </c>
      <c r="B33" s="1">
        <f t="shared" si="0"/>
        <v>42583</v>
      </c>
      <c r="C33">
        <v>8</v>
      </c>
      <c r="D33" t="str">
        <f t="shared" si="1"/>
        <v>August</v>
      </c>
      <c r="E33">
        <v>2</v>
      </c>
      <c r="F33">
        <v>-0.45</v>
      </c>
      <c r="G33" t="str">
        <f t="shared" si="2"/>
        <v>Neutral</v>
      </c>
      <c r="H33">
        <v>-0.47</v>
      </c>
      <c r="I33">
        <v>0.15</v>
      </c>
      <c r="J33">
        <f t="shared" si="3"/>
        <v>-5.9438743102389217E-2</v>
      </c>
      <c r="K33">
        <v>8.4</v>
      </c>
      <c r="L33">
        <v>70.400000000000006</v>
      </c>
      <c r="M33">
        <v>1004.4</v>
      </c>
      <c r="N33">
        <v>7</v>
      </c>
      <c r="O33">
        <v>1</v>
      </c>
    </row>
    <row r="34" spans="1:15">
      <c r="A34">
        <v>2016</v>
      </c>
      <c r="B34" s="1">
        <f t="shared" si="0"/>
        <v>42614</v>
      </c>
      <c r="C34">
        <v>9</v>
      </c>
      <c r="D34" t="str">
        <f t="shared" si="1"/>
        <v>September</v>
      </c>
      <c r="E34">
        <v>2</v>
      </c>
      <c r="F34">
        <v>-0.27</v>
      </c>
      <c r="G34" t="str">
        <f t="shared" si="2"/>
        <v>Neutral</v>
      </c>
      <c r="H34">
        <v>-0.2</v>
      </c>
      <c r="I34">
        <v>-0.23</v>
      </c>
      <c r="J34">
        <f t="shared" si="3"/>
        <v>-5.9531497845862084E-2</v>
      </c>
      <c r="K34">
        <v>8.9</v>
      </c>
      <c r="L34">
        <v>72.5</v>
      </c>
      <c r="M34">
        <v>1004.5</v>
      </c>
      <c r="N34">
        <v>7</v>
      </c>
      <c r="O34">
        <v>2</v>
      </c>
    </row>
    <row r="35" spans="1:15">
      <c r="A35">
        <v>2016</v>
      </c>
      <c r="B35" s="1">
        <f t="shared" si="0"/>
        <v>42644</v>
      </c>
      <c r="C35">
        <v>10</v>
      </c>
      <c r="D35" t="str">
        <f t="shared" si="1"/>
        <v>October</v>
      </c>
      <c r="E35">
        <v>5</v>
      </c>
      <c r="F35">
        <v>-0.67</v>
      </c>
      <c r="G35" t="str">
        <f t="shared" si="2"/>
        <v>La Niña</v>
      </c>
      <c r="H35">
        <v>-0.63</v>
      </c>
      <c r="I35">
        <v>-0.26</v>
      </c>
      <c r="J35">
        <f t="shared" si="3"/>
        <v>-5.6873455652390437E-2</v>
      </c>
      <c r="K35">
        <v>9</v>
      </c>
      <c r="L35">
        <v>64.599999999999994</v>
      </c>
      <c r="M35">
        <v>1004.5</v>
      </c>
      <c r="N35">
        <v>0</v>
      </c>
      <c r="O35">
        <v>2</v>
      </c>
    </row>
    <row r="36" spans="1:15">
      <c r="A36">
        <v>2016</v>
      </c>
      <c r="B36" s="1">
        <f t="shared" si="0"/>
        <v>42675</v>
      </c>
      <c r="C36">
        <v>11</v>
      </c>
      <c r="D36" t="str">
        <f t="shared" si="1"/>
        <v>November</v>
      </c>
      <c r="E36">
        <v>3</v>
      </c>
      <c r="F36">
        <v>-0.21</v>
      </c>
      <c r="G36" t="str">
        <f t="shared" si="2"/>
        <v>Neutral</v>
      </c>
      <c r="H36">
        <v>-0.12</v>
      </c>
      <c r="I36">
        <v>0.2</v>
      </c>
      <c r="J36">
        <f t="shared" si="3"/>
        <v>-3.1607857296168482E-2</v>
      </c>
      <c r="K36">
        <v>9.8000000000000007</v>
      </c>
      <c r="L36">
        <v>68</v>
      </c>
      <c r="M36">
        <v>1007.8</v>
      </c>
      <c r="N36">
        <v>4</v>
      </c>
      <c r="O36">
        <v>5</v>
      </c>
    </row>
    <row r="37" spans="1:15">
      <c r="A37">
        <v>2016</v>
      </c>
      <c r="B37" s="1">
        <f t="shared" si="0"/>
        <v>42705</v>
      </c>
      <c r="C37">
        <v>12</v>
      </c>
      <c r="D37" t="str">
        <f t="shared" si="1"/>
        <v>December</v>
      </c>
      <c r="E37">
        <v>1</v>
      </c>
      <c r="F37">
        <v>-0.42</v>
      </c>
      <c r="G37" t="str">
        <f t="shared" si="2"/>
        <v>Neutral</v>
      </c>
      <c r="H37">
        <v>-0.31</v>
      </c>
      <c r="I37">
        <v>-0.14000000000000001</v>
      </c>
      <c r="J37">
        <f t="shared" si="3"/>
        <v>-3.3216170567772201E-2</v>
      </c>
      <c r="K37">
        <v>11.8</v>
      </c>
      <c r="L37">
        <v>54.8</v>
      </c>
      <c r="M37">
        <v>1010.8</v>
      </c>
      <c r="N37">
        <v>7</v>
      </c>
      <c r="O37">
        <v>3</v>
      </c>
    </row>
    <row r="38" spans="1:15">
      <c r="A38">
        <v>2017</v>
      </c>
      <c r="B38" s="1">
        <f t="shared" si="0"/>
        <v>42736</v>
      </c>
      <c r="C38">
        <v>1</v>
      </c>
      <c r="D38" t="str">
        <f t="shared" si="1"/>
        <v>January</v>
      </c>
      <c r="E38">
        <v>0</v>
      </c>
      <c r="F38">
        <v>0.08</v>
      </c>
      <c r="G38" t="str">
        <f t="shared" si="2"/>
        <v>Neutral</v>
      </c>
      <c r="H38">
        <v>0.06</v>
      </c>
      <c r="I38">
        <v>0.49</v>
      </c>
      <c r="J38">
        <f t="shared" si="3"/>
        <v>-3.6216709474750725E-2</v>
      </c>
      <c r="K38">
        <v>12.2</v>
      </c>
      <c r="L38">
        <v>53.6</v>
      </c>
      <c r="M38">
        <v>1009.7</v>
      </c>
      <c r="N38">
        <v>7</v>
      </c>
      <c r="O38">
        <v>1</v>
      </c>
    </row>
    <row r="39" spans="1:15">
      <c r="A39">
        <v>2017</v>
      </c>
      <c r="B39" s="1">
        <f t="shared" si="0"/>
        <v>42767</v>
      </c>
      <c r="C39">
        <v>2</v>
      </c>
      <c r="D39" t="str">
        <f t="shared" si="1"/>
        <v>February</v>
      </c>
      <c r="E39">
        <v>0</v>
      </c>
      <c r="F39">
        <v>-7.0000000000000007E-2</v>
      </c>
      <c r="G39" t="str">
        <f t="shared" si="2"/>
        <v>Neutral</v>
      </c>
      <c r="H39">
        <v>-0.02</v>
      </c>
      <c r="I39">
        <v>-0.27</v>
      </c>
      <c r="J39">
        <f t="shared" si="3"/>
        <v>-2.6483567303202716E-2</v>
      </c>
      <c r="K39">
        <v>12</v>
      </c>
      <c r="L39">
        <v>51.8</v>
      </c>
      <c r="M39">
        <v>1010.5</v>
      </c>
      <c r="N39">
        <v>4</v>
      </c>
      <c r="O39">
        <v>0</v>
      </c>
    </row>
    <row r="40" spans="1:15">
      <c r="A40">
        <v>2017</v>
      </c>
      <c r="B40" s="1">
        <f t="shared" si="0"/>
        <v>42795</v>
      </c>
      <c r="C40">
        <v>3</v>
      </c>
      <c r="D40" t="str">
        <f t="shared" si="1"/>
        <v>March</v>
      </c>
      <c r="E40">
        <v>1</v>
      </c>
      <c r="F40">
        <v>-0.04</v>
      </c>
      <c r="G40" t="str">
        <f t="shared" si="2"/>
        <v>Neutral</v>
      </c>
      <c r="H40">
        <v>-0.03</v>
      </c>
      <c r="I40">
        <v>0.68</v>
      </c>
      <c r="J40">
        <f t="shared" si="3"/>
        <v>-3.9609487446538243E-2</v>
      </c>
      <c r="K40">
        <v>11.5</v>
      </c>
      <c r="L40">
        <v>55.9</v>
      </c>
      <c r="M40">
        <v>1009.7</v>
      </c>
      <c r="N40">
        <v>3</v>
      </c>
      <c r="O40">
        <v>0</v>
      </c>
    </row>
    <row r="41" spans="1:15">
      <c r="A41">
        <v>2017</v>
      </c>
      <c r="B41" s="1">
        <f t="shared" si="0"/>
        <v>42826</v>
      </c>
      <c r="C41">
        <v>4</v>
      </c>
      <c r="D41" t="str">
        <f t="shared" si="1"/>
        <v>April</v>
      </c>
      <c r="E41">
        <v>1</v>
      </c>
      <c r="F41">
        <v>-0.13</v>
      </c>
      <c r="G41" t="str">
        <f t="shared" si="2"/>
        <v>Neutral</v>
      </c>
      <c r="H41">
        <v>-0.11</v>
      </c>
      <c r="I41">
        <v>0.28999999999999998</v>
      </c>
      <c r="J41">
        <f t="shared" si="3"/>
        <v>-3.4381248644261293E-2</v>
      </c>
      <c r="K41">
        <v>10.9</v>
      </c>
      <c r="L41">
        <v>62.2</v>
      </c>
      <c r="M41">
        <v>1008.8</v>
      </c>
      <c r="N41">
        <v>2</v>
      </c>
      <c r="O41">
        <v>1</v>
      </c>
    </row>
    <row r="42" spans="1:15">
      <c r="A42">
        <v>2017</v>
      </c>
      <c r="B42" s="1">
        <f t="shared" si="0"/>
        <v>42856</v>
      </c>
      <c r="C42">
        <v>5</v>
      </c>
      <c r="D42" t="str">
        <f t="shared" si="1"/>
        <v>May</v>
      </c>
      <c r="E42">
        <v>1</v>
      </c>
      <c r="F42">
        <v>0.03</v>
      </c>
      <c r="G42" t="str">
        <f t="shared" si="2"/>
        <v>Neutral</v>
      </c>
      <c r="H42">
        <v>-0.01</v>
      </c>
      <c r="I42">
        <v>0.02</v>
      </c>
      <c r="J42">
        <f t="shared" si="3"/>
        <v>-3.2838305349929514E-2</v>
      </c>
      <c r="K42">
        <v>10.8</v>
      </c>
      <c r="L42">
        <v>57.2</v>
      </c>
      <c r="M42">
        <v>1008.6</v>
      </c>
      <c r="N42">
        <v>8</v>
      </c>
      <c r="O42">
        <v>1</v>
      </c>
    </row>
    <row r="43" spans="1:15">
      <c r="A43">
        <v>2017</v>
      </c>
      <c r="B43" s="1">
        <f t="shared" si="0"/>
        <v>42887</v>
      </c>
      <c r="C43">
        <v>6</v>
      </c>
      <c r="D43" t="str">
        <f t="shared" si="1"/>
        <v>June</v>
      </c>
      <c r="E43">
        <v>2</v>
      </c>
      <c r="F43">
        <v>0.08</v>
      </c>
      <c r="G43" t="str">
        <f t="shared" si="2"/>
        <v>Neutral</v>
      </c>
      <c r="H43">
        <v>0</v>
      </c>
      <c r="I43">
        <v>0.62</v>
      </c>
      <c r="J43">
        <f t="shared" si="3"/>
        <v>-3.4299303472696281E-2</v>
      </c>
      <c r="K43">
        <v>7.8</v>
      </c>
      <c r="L43">
        <v>71.8</v>
      </c>
      <c r="M43">
        <v>1004.8</v>
      </c>
      <c r="N43">
        <v>5</v>
      </c>
      <c r="O43">
        <v>1</v>
      </c>
    </row>
    <row r="44" spans="1:15">
      <c r="A44">
        <v>2017</v>
      </c>
      <c r="B44" s="1">
        <f t="shared" si="0"/>
        <v>42917</v>
      </c>
      <c r="C44">
        <v>7</v>
      </c>
      <c r="D44" t="str">
        <f t="shared" si="1"/>
        <v>July</v>
      </c>
      <c r="E44">
        <v>4</v>
      </c>
      <c r="F44">
        <v>0.15</v>
      </c>
      <c r="G44" t="str">
        <f t="shared" si="2"/>
        <v>Neutral</v>
      </c>
      <c r="H44">
        <v>0.14000000000000001</v>
      </c>
      <c r="I44">
        <v>0.47</v>
      </c>
      <c r="J44">
        <f t="shared" si="3"/>
        <v>-3.9015421348912165E-2</v>
      </c>
      <c r="K44">
        <v>8.1999999999999993</v>
      </c>
      <c r="L44">
        <v>68.2</v>
      </c>
      <c r="M44">
        <v>1005.6</v>
      </c>
      <c r="N44">
        <v>6</v>
      </c>
      <c r="O44">
        <v>2</v>
      </c>
    </row>
    <row r="45" spans="1:15">
      <c r="A45">
        <v>2017</v>
      </c>
      <c r="B45" s="1">
        <f t="shared" si="0"/>
        <v>42948</v>
      </c>
      <c r="C45">
        <v>8</v>
      </c>
      <c r="D45" t="str">
        <f t="shared" si="1"/>
        <v>August</v>
      </c>
      <c r="E45">
        <v>2</v>
      </c>
      <c r="F45">
        <v>-0.01</v>
      </c>
      <c r="G45" t="str">
        <f t="shared" si="2"/>
        <v>Neutral</v>
      </c>
      <c r="H45">
        <v>0.04</v>
      </c>
      <c r="I45">
        <v>0.54</v>
      </c>
      <c r="J45">
        <f t="shared" si="3"/>
        <v>-5.6611398530033483E-2</v>
      </c>
      <c r="K45">
        <v>8.3000000000000007</v>
      </c>
      <c r="L45">
        <v>70.8</v>
      </c>
      <c r="M45">
        <v>1004.5</v>
      </c>
      <c r="N45">
        <v>6</v>
      </c>
      <c r="O45">
        <v>4</v>
      </c>
    </row>
    <row r="46" spans="1:15">
      <c r="A46">
        <v>2017</v>
      </c>
      <c r="B46" s="1">
        <f t="shared" si="0"/>
        <v>42979</v>
      </c>
      <c r="C46">
        <v>9</v>
      </c>
      <c r="D46" t="str">
        <f t="shared" si="1"/>
        <v>September</v>
      </c>
      <c r="E46">
        <v>2</v>
      </c>
      <c r="F46">
        <v>-0.09</v>
      </c>
      <c r="G46" t="str">
        <f t="shared" si="2"/>
        <v>Neutral</v>
      </c>
      <c r="H46">
        <v>-0.14000000000000001</v>
      </c>
      <c r="I46">
        <v>-0.02</v>
      </c>
      <c r="J46">
        <f t="shared" si="3"/>
        <v>-6.1166625300918313E-2</v>
      </c>
      <c r="K46">
        <v>8.1</v>
      </c>
      <c r="L46">
        <v>67.599999999999994</v>
      </c>
      <c r="M46">
        <v>1003.4</v>
      </c>
      <c r="N46">
        <v>7</v>
      </c>
      <c r="O46">
        <v>2</v>
      </c>
    </row>
    <row r="47" spans="1:15">
      <c r="A47">
        <v>2017</v>
      </c>
      <c r="B47" s="1">
        <f t="shared" si="0"/>
        <v>43009</v>
      </c>
      <c r="C47">
        <v>10</v>
      </c>
      <c r="D47" t="str">
        <f t="shared" si="1"/>
        <v>October</v>
      </c>
      <c r="E47">
        <v>2</v>
      </c>
      <c r="F47">
        <v>-0.16</v>
      </c>
      <c r="G47" t="str">
        <f t="shared" si="2"/>
        <v>Neutral</v>
      </c>
      <c r="H47">
        <v>-0.15</v>
      </c>
      <c r="I47">
        <v>0.41</v>
      </c>
      <c r="J47">
        <f t="shared" si="3"/>
        <v>-5.9722161165330565E-2</v>
      </c>
      <c r="K47">
        <v>8.6</v>
      </c>
      <c r="L47">
        <v>64</v>
      </c>
      <c r="M47">
        <v>1004.2</v>
      </c>
      <c r="N47">
        <v>7</v>
      </c>
      <c r="O47">
        <v>2</v>
      </c>
    </row>
    <row r="48" spans="1:15">
      <c r="A48">
        <v>2017</v>
      </c>
      <c r="B48" s="1">
        <f t="shared" si="0"/>
        <v>43040</v>
      </c>
      <c r="C48">
        <v>11</v>
      </c>
      <c r="D48" t="str">
        <f t="shared" si="1"/>
        <v>November</v>
      </c>
      <c r="E48">
        <v>3</v>
      </c>
      <c r="F48">
        <v>-0.01</v>
      </c>
      <c r="G48" t="str">
        <f t="shared" si="2"/>
        <v>Neutral</v>
      </c>
      <c r="H48">
        <v>0.03</v>
      </c>
      <c r="I48">
        <v>-0.05</v>
      </c>
      <c r="J48">
        <f t="shared" si="3"/>
        <v>-6.2839224827908949E-2</v>
      </c>
      <c r="K48">
        <v>10.6</v>
      </c>
      <c r="L48">
        <v>65.400000000000006</v>
      </c>
      <c r="M48">
        <v>1007</v>
      </c>
      <c r="N48">
        <v>7</v>
      </c>
      <c r="O48">
        <v>2</v>
      </c>
    </row>
    <row r="49" spans="1:15">
      <c r="A49">
        <v>2017</v>
      </c>
      <c r="B49" s="1">
        <f t="shared" si="0"/>
        <v>43070</v>
      </c>
      <c r="C49">
        <v>12</v>
      </c>
      <c r="D49" t="str">
        <f t="shared" si="1"/>
        <v>December</v>
      </c>
      <c r="E49">
        <v>0</v>
      </c>
      <c r="F49">
        <v>7.0000000000000007E-2</v>
      </c>
      <c r="G49" t="str">
        <f t="shared" si="2"/>
        <v>Neutral</v>
      </c>
      <c r="H49">
        <v>0</v>
      </c>
      <c r="I49">
        <v>0.35</v>
      </c>
      <c r="J49">
        <f t="shared" si="3"/>
        <v>-5.7435808230782391E-2</v>
      </c>
      <c r="K49">
        <v>12.3</v>
      </c>
      <c r="L49">
        <v>51.1</v>
      </c>
      <c r="M49">
        <v>1009.3</v>
      </c>
      <c r="N49">
        <v>7</v>
      </c>
      <c r="O49">
        <v>3</v>
      </c>
    </row>
    <row r="50" spans="1:15">
      <c r="A50">
        <v>2018</v>
      </c>
      <c r="B50" s="1">
        <f t="shared" si="0"/>
        <v>43101</v>
      </c>
      <c r="C50">
        <v>1</v>
      </c>
      <c r="D50" t="str">
        <f t="shared" si="1"/>
        <v>January</v>
      </c>
      <c r="E50">
        <v>2</v>
      </c>
      <c r="F50">
        <v>-0.16</v>
      </c>
      <c r="G50" t="str">
        <f t="shared" si="2"/>
        <v>Neutral</v>
      </c>
      <c r="H50">
        <v>-0.23</v>
      </c>
      <c r="I50">
        <v>-0.1</v>
      </c>
      <c r="J50">
        <f t="shared" si="3"/>
        <v>-5.0854135544741351E-2</v>
      </c>
      <c r="K50">
        <v>13</v>
      </c>
      <c r="L50">
        <v>57.6</v>
      </c>
      <c r="M50">
        <v>1010.3</v>
      </c>
      <c r="N50">
        <v>6</v>
      </c>
      <c r="O50">
        <v>0</v>
      </c>
    </row>
    <row r="51" spans="1:15">
      <c r="A51">
        <v>2018</v>
      </c>
      <c r="B51" s="1">
        <f t="shared" si="0"/>
        <v>43132</v>
      </c>
      <c r="C51">
        <v>2</v>
      </c>
      <c r="D51" t="str">
        <f t="shared" si="1"/>
        <v>February</v>
      </c>
      <c r="E51">
        <v>0</v>
      </c>
      <c r="F51">
        <v>-0.44</v>
      </c>
      <c r="G51" t="str">
        <f t="shared" si="2"/>
        <v>Neutral</v>
      </c>
      <c r="H51">
        <v>-0.45</v>
      </c>
      <c r="I51">
        <v>0.23</v>
      </c>
      <c r="J51">
        <f t="shared" si="3"/>
        <v>-4.858050978618568E-2</v>
      </c>
      <c r="K51">
        <v>13.1</v>
      </c>
      <c r="L51">
        <v>54.5</v>
      </c>
      <c r="M51">
        <v>1010.6</v>
      </c>
      <c r="N51">
        <v>6</v>
      </c>
      <c r="O51">
        <v>2</v>
      </c>
    </row>
    <row r="52" spans="1:15">
      <c r="A52">
        <v>2018</v>
      </c>
      <c r="B52" s="1">
        <f t="shared" si="0"/>
        <v>43160</v>
      </c>
      <c r="C52">
        <v>3</v>
      </c>
      <c r="D52" t="str">
        <f t="shared" si="1"/>
        <v>March</v>
      </c>
      <c r="E52">
        <v>0</v>
      </c>
      <c r="F52">
        <v>-0.27</v>
      </c>
      <c r="G52" t="str">
        <f t="shared" si="2"/>
        <v>Neutral</v>
      </c>
      <c r="H52">
        <v>-0.28999999999999998</v>
      </c>
      <c r="I52">
        <v>0.46</v>
      </c>
      <c r="J52">
        <f t="shared" si="3"/>
        <v>-4.5674651277966591E-2</v>
      </c>
      <c r="K52">
        <v>13.4</v>
      </c>
      <c r="L52">
        <v>57.1</v>
      </c>
      <c r="M52">
        <v>1008.7</v>
      </c>
      <c r="N52">
        <v>8</v>
      </c>
      <c r="O52">
        <v>0</v>
      </c>
    </row>
    <row r="53" spans="1:15">
      <c r="A53">
        <v>2018</v>
      </c>
      <c r="B53" s="1">
        <f t="shared" si="0"/>
        <v>43191</v>
      </c>
      <c r="C53">
        <v>4</v>
      </c>
      <c r="D53" t="str">
        <f t="shared" si="1"/>
        <v>April</v>
      </c>
      <c r="E53">
        <v>0</v>
      </c>
      <c r="F53">
        <v>-0.38</v>
      </c>
      <c r="G53" t="str">
        <f t="shared" si="2"/>
        <v>Neutral</v>
      </c>
      <c r="H53">
        <v>-0.33</v>
      </c>
      <c r="I53">
        <v>0.03</v>
      </c>
      <c r="J53">
        <f t="shared" si="3"/>
        <v>-3.5153553630072526E-2</v>
      </c>
      <c r="K53">
        <v>10.1</v>
      </c>
      <c r="L53">
        <v>59.5</v>
      </c>
      <c r="M53">
        <v>1008.5</v>
      </c>
      <c r="N53">
        <v>4</v>
      </c>
      <c r="O53">
        <v>0</v>
      </c>
    </row>
    <row r="54" spans="1:15">
      <c r="A54">
        <v>2018</v>
      </c>
      <c r="B54" s="1">
        <f t="shared" si="0"/>
        <v>43221</v>
      </c>
      <c r="C54">
        <v>5</v>
      </c>
      <c r="D54" t="str">
        <f t="shared" si="1"/>
        <v>May</v>
      </c>
      <c r="E54">
        <v>0</v>
      </c>
      <c r="F54">
        <v>-0.45</v>
      </c>
      <c r="G54" t="str">
        <f t="shared" si="2"/>
        <v>Neutral</v>
      </c>
      <c r="H54">
        <v>-0.44</v>
      </c>
      <c r="I54">
        <v>0.41</v>
      </c>
      <c r="J54">
        <f t="shared" si="3"/>
        <v>-3.8738038702381974E-2</v>
      </c>
      <c r="K54">
        <v>10.6</v>
      </c>
      <c r="L54">
        <v>66.3</v>
      </c>
      <c r="M54">
        <v>1008.1</v>
      </c>
      <c r="N54">
        <v>8</v>
      </c>
      <c r="O54">
        <v>0</v>
      </c>
    </row>
    <row r="55" spans="1:15">
      <c r="A55">
        <v>2018</v>
      </c>
      <c r="B55" s="1">
        <f t="shared" si="0"/>
        <v>43252</v>
      </c>
      <c r="C55">
        <v>6</v>
      </c>
      <c r="D55" t="str">
        <f t="shared" si="1"/>
        <v>June</v>
      </c>
      <c r="E55">
        <v>0</v>
      </c>
      <c r="F55">
        <v>-0.27</v>
      </c>
      <c r="G55" t="str">
        <f t="shared" si="2"/>
        <v>Neutral</v>
      </c>
      <c r="H55">
        <v>-0.27</v>
      </c>
      <c r="I55">
        <v>-0.43</v>
      </c>
      <c r="J55">
        <f t="shared" si="3"/>
        <v>-2.929256689046731E-2</v>
      </c>
      <c r="K55">
        <v>8.1</v>
      </c>
      <c r="L55">
        <v>66.599999999999994</v>
      </c>
      <c r="M55">
        <v>1006.2</v>
      </c>
      <c r="N55">
        <v>7</v>
      </c>
      <c r="O55">
        <v>0</v>
      </c>
    </row>
    <row r="56" spans="1:15">
      <c r="A56">
        <v>2018</v>
      </c>
      <c r="B56" s="1">
        <f t="shared" si="0"/>
        <v>43282</v>
      </c>
      <c r="C56">
        <v>7</v>
      </c>
      <c r="D56" t="str">
        <f t="shared" si="1"/>
        <v>July</v>
      </c>
      <c r="E56">
        <v>1</v>
      </c>
      <c r="F56">
        <v>-0.27</v>
      </c>
      <c r="G56" t="str">
        <f t="shared" si="2"/>
        <v>Neutral</v>
      </c>
      <c r="H56">
        <v>-0.28999999999999998</v>
      </c>
      <c r="I56">
        <v>0.56999999999999995</v>
      </c>
      <c r="J56">
        <f t="shared" si="3"/>
        <v>-5.023458957555775E-2</v>
      </c>
      <c r="K56">
        <v>8.4</v>
      </c>
      <c r="L56">
        <v>69.900000000000006</v>
      </c>
      <c r="M56">
        <v>1005.5</v>
      </c>
      <c r="N56">
        <v>2</v>
      </c>
      <c r="O56">
        <v>0</v>
      </c>
    </row>
    <row r="57" spans="1:15">
      <c r="A57">
        <v>2018</v>
      </c>
      <c r="B57" s="1">
        <f t="shared" si="0"/>
        <v>43313</v>
      </c>
      <c r="C57">
        <v>8</v>
      </c>
      <c r="D57" t="str">
        <f t="shared" si="1"/>
        <v>August</v>
      </c>
      <c r="E57">
        <v>2</v>
      </c>
      <c r="F57">
        <v>-0.4</v>
      </c>
      <c r="G57" t="str">
        <f t="shared" si="2"/>
        <v>Neutral</v>
      </c>
      <c r="H57">
        <v>-0.42</v>
      </c>
      <c r="I57">
        <v>0.48</v>
      </c>
      <c r="J57">
        <f t="shared" si="3"/>
        <v>-4.4732606792839961E-2</v>
      </c>
      <c r="K57">
        <v>8.1</v>
      </c>
      <c r="L57">
        <v>70.400000000000006</v>
      </c>
      <c r="M57">
        <v>1004</v>
      </c>
      <c r="N57">
        <v>7</v>
      </c>
      <c r="O57">
        <v>1</v>
      </c>
    </row>
    <row r="58" spans="1:15">
      <c r="A58">
        <v>2018</v>
      </c>
      <c r="B58" s="1">
        <f t="shared" si="0"/>
        <v>43344</v>
      </c>
      <c r="C58">
        <v>9</v>
      </c>
      <c r="D58" t="str">
        <f t="shared" si="1"/>
        <v>September</v>
      </c>
      <c r="E58">
        <v>3</v>
      </c>
      <c r="F58">
        <v>-0.38</v>
      </c>
      <c r="G58" t="str">
        <f t="shared" si="2"/>
        <v>Neutral</v>
      </c>
      <c r="H58">
        <v>-0.4</v>
      </c>
      <c r="I58">
        <v>0.49</v>
      </c>
      <c r="J58">
        <f t="shared" si="3"/>
        <v>-4.8311805466509962E-2</v>
      </c>
      <c r="K58">
        <v>8.5</v>
      </c>
      <c r="L58">
        <v>67.900000000000006</v>
      </c>
      <c r="M58">
        <v>1005.1</v>
      </c>
      <c r="N58">
        <v>4</v>
      </c>
      <c r="O58">
        <v>2</v>
      </c>
    </row>
    <row r="59" spans="1:15">
      <c r="A59">
        <v>2018</v>
      </c>
      <c r="B59" s="1">
        <f t="shared" si="0"/>
        <v>43374</v>
      </c>
      <c r="C59">
        <v>10</v>
      </c>
      <c r="D59" t="str">
        <f t="shared" si="1"/>
        <v>October</v>
      </c>
      <c r="E59">
        <v>4</v>
      </c>
      <c r="F59">
        <v>-0.48</v>
      </c>
      <c r="G59" t="str">
        <f t="shared" si="2"/>
        <v>Neutral</v>
      </c>
      <c r="H59">
        <v>-0.48</v>
      </c>
      <c r="I59">
        <v>0.47</v>
      </c>
      <c r="J59">
        <f t="shared" si="3"/>
        <v>-6.1098458676206231E-2</v>
      </c>
      <c r="K59">
        <v>9.1</v>
      </c>
      <c r="L59">
        <v>67</v>
      </c>
      <c r="M59">
        <v>1006.2</v>
      </c>
      <c r="N59">
        <v>4</v>
      </c>
      <c r="O59">
        <v>3</v>
      </c>
    </row>
    <row r="60" spans="1:15">
      <c r="A60">
        <v>2018</v>
      </c>
      <c r="B60" s="1">
        <f t="shared" si="0"/>
        <v>43405</v>
      </c>
      <c r="C60">
        <v>11</v>
      </c>
      <c r="D60" t="str">
        <f t="shared" si="1"/>
        <v>November</v>
      </c>
      <c r="E60">
        <v>0</v>
      </c>
      <c r="F60">
        <v>-0.21</v>
      </c>
      <c r="G60" t="str">
        <f t="shared" si="2"/>
        <v>Neutral</v>
      </c>
      <c r="H60">
        <v>-0.17</v>
      </c>
      <c r="I60">
        <v>0.3</v>
      </c>
      <c r="J60">
        <f t="shared" si="3"/>
        <v>-8.3019199982444378E-2</v>
      </c>
      <c r="K60">
        <v>10.3</v>
      </c>
      <c r="L60">
        <v>69.599999999999994</v>
      </c>
      <c r="M60">
        <v>1009</v>
      </c>
      <c r="N60">
        <v>6</v>
      </c>
      <c r="O60">
        <v>4</v>
      </c>
    </row>
    <row r="61" spans="1:15">
      <c r="A61">
        <v>2018</v>
      </c>
      <c r="B61" s="1">
        <f t="shared" si="0"/>
        <v>43435</v>
      </c>
      <c r="C61">
        <v>12</v>
      </c>
      <c r="D61" t="str">
        <f t="shared" si="1"/>
        <v>December</v>
      </c>
      <c r="E61">
        <v>1</v>
      </c>
      <c r="F61">
        <v>-0.2</v>
      </c>
      <c r="G61" t="str">
        <f t="shared" si="2"/>
        <v>Neutral</v>
      </c>
      <c r="H61">
        <v>-0.21</v>
      </c>
      <c r="I61">
        <v>0.25</v>
      </c>
      <c r="J61">
        <f t="shared" si="3"/>
        <v>-7.6575215655059578E-2</v>
      </c>
      <c r="K61">
        <v>12.5</v>
      </c>
      <c r="L61">
        <v>50.5</v>
      </c>
      <c r="M61">
        <v>1009.8</v>
      </c>
      <c r="N61">
        <v>0</v>
      </c>
      <c r="O61">
        <v>0</v>
      </c>
    </row>
    <row r="62" spans="1:15">
      <c r="A62">
        <v>2019</v>
      </c>
      <c r="B62" s="1">
        <f t="shared" si="0"/>
        <v>43466</v>
      </c>
      <c r="C62">
        <v>1</v>
      </c>
      <c r="D62" t="str">
        <f t="shared" si="1"/>
        <v>January</v>
      </c>
      <c r="E62">
        <v>1</v>
      </c>
      <c r="F62">
        <v>0.57999999999999996</v>
      </c>
      <c r="G62" t="str">
        <f t="shared" si="2"/>
        <v>El Niño</v>
      </c>
      <c r="H62">
        <v>0.6</v>
      </c>
      <c r="I62">
        <v>0.51</v>
      </c>
      <c r="J62">
        <f t="shared" si="3"/>
        <v>-7.4766869009159548E-2</v>
      </c>
      <c r="K62">
        <v>12.5</v>
      </c>
      <c r="L62">
        <v>54.4</v>
      </c>
      <c r="M62">
        <v>1009.6</v>
      </c>
      <c r="N62">
        <v>4</v>
      </c>
      <c r="O62">
        <v>1</v>
      </c>
    </row>
    <row r="63" spans="1:15">
      <c r="A63">
        <v>2019</v>
      </c>
      <c r="B63" s="1">
        <f t="shared" si="0"/>
        <v>43497</v>
      </c>
      <c r="C63">
        <v>2</v>
      </c>
      <c r="D63" t="str">
        <f t="shared" si="1"/>
        <v>February</v>
      </c>
      <c r="E63">
        <v>0</v>
      </c>
      <c r="F63">
        <v>0.67</v>
      </c>
      <c r="G63" t="str">
        <f t="shared" si="2"/>
        <v>El Niño</v>
      </c>
      <c r="H63">
        <v>0.73</v>
      </c>
      <c r="I63">
        <v>-0.11</v>
      </c>
      <c r="J63">
        <f t="shared" si="3"/>
        <v>-6.9809763090566745E-2</v>
      </c>
      <c r="K63">
        <v>13.7</v>
      </c>
      <c r="L63">
        <v>54.6</v>
      </c>
      <c r="M63">
        <v>1008.9</v>
      </c>
      <c r="N63">
        <v>1</v>
      </c>
      <c r="O63">
        <v>1</v>
      </c>
    </row>
    <row r="64" spans="1:15">
      <c r="A64">
        <v>2019</v>
      </c>
      <c r="B64" s="1">
        <f t="shared" si="0"/>
        <v>43525</v>
      </c>
      <c r="C64">
        <v>3</v>
      </c>
      <c r="D64" t="str">
        <f t="shared" si="1"/>
        <v>March</v>
      </c>
      <c r="E64">
        <v>0</v>
      </c>
      <c r="F64">
        <v>0.89</v>
      </c>
      <c r="G64" t="str">
        <f t="shared" si="2"/>
        <v>El Niño</v>
      </c>
      <c r="H64">
        <v>0.91</v>
      </c>
      <c r="I64">
        <v>-0.17</v>
      </c>
      <c r="J64">
        <f t="shared" si="3"/>
        <v>-7.8945810513322154E-2</v>
      </c>
      <c r="K64">
        <v>13.8</v>
      </c>
      <c r="L64">
        <v>49</v>
      </c>
      <c r="M64">
        <v>1009</v>
      </c>
      <c r="N64">
        <v>8</v>
      </c>
      <c r="O64">
        <v>0</v>
      </c>
    </row>
    <row r="65" spans="1:15">
      <c r="A65">
        <v>2019</v>
      </c>
      <c r="B65" s="1">
        <f t="shared" si="0"/>
        <v>43556</v>
      </c>
      <c r="C65">
        <v>4</v>
      </c>
      <c r="D65" t="str">
        <f t="shared" si="1"/>
        <v>April</v>
      </c>
      <c r="E65">
        <v>0</v>
      </c>
      <c r="F65">
        <v>0.56000000000000005</v>
      </c>
      <c r="G65" t="str">
        <f t="shared" si="2"/>
        <v>El Niño</v>
      </c>
      <c r="H65">
        <v>0.52</v>
      </c>
      <c r="I65">
        <v>0.56999999999999995</v>
      </c>
      <c r="J65">
        <f t="shared" si="3"/>
        <v>-9.1150700326529471E-2</v>
      </c>
      <c r="K65">
        <v>10.9</v>
      </c>
      <c r="L65">
        <v>64.7</v>
      </c>
      <c r="M65">
        <v>1007.7</v>
      </c>
      <c r="N65">
        <v>0</v>
      </c>
      <c r="O65">
        <v>0</v>
      </c>
    </row>
    <row r="66" spans="1:15">
      <c r="A66">
        <v>2019</v>
      </c>
      <c r="B66" s="1">
        <f t="shared" si="0"/>
        <v>43586</v>
      </c>
      <c r="C66">
        <v>5</v>
      </c>
      <c r="D66" t="str">
        <f t="shared" si="1"/>
        <v>May</v>
      </c>
      <c r="E66">
        <v>0</v>
      </c>
      <c r="F66">
        <v>0.78</v>
      </c>
      <c r="G66" t="str">
        <f t="shared" si="2"/>
        <v>El Niño</v>
      </c>
      <c r="H66">
        <v>0.77</v>
      </c>
      <c r="I66">
        <v>0.7</v>
      </c>
      <c r="J66">
        <f t="shared" si="3"/>
        <v>-7.3592222225440054E-2</v>
      </c>
      <c r="K66">
        <v>11.8</v>
      </c>
      <c r="L66">
        <v>63.5</v>
      </c>
      <c r="M66">
        <v>1006.8</v>
      </c>
      <c r="N66">
        <v>5</v>
      </c>
      <c r="O66">
        <v>0</v>
      </c>
    </row>
    <row r="67" spans="1:15">
      <c r="A67">
        <v>2019</v>
      </c>
      <c r="B67" s="1">
        <f t="shared" ref="B67:B130" si="4">DATE(A67,C67,1)</f>
        <v>43617</v>
      </c>
      <c r="C67">
        <v>6</v>
      </c>
      <c r="D67" t="str">
        <f t="shared" ref="D67:D130" si="5">TEXT(DATE(A67,C67,1), "mmmm")</f>
        <v>June</v>
      </c>
      <c r="E67">
        <v>4</v>
      </c>
      <c r="F67">
        <v>0.63</v>
      </c>
      <c r="G67" t="str">
        <f t="shared" ref="G67:G130" si="6">IF(F67&gt;=0.5, "El Niño", IF(F67&lt;=-0.5, "La Niña", "Neutral"))</f>
        <v>El Niño</v>
      </c>
      <c r="H67">
        <v>0.71</v>
      </c>
      <c r="I67">
        <v>0.66</v>
      </c>
      <c r="J67">
        <f t="shared" ref="J67:J130" si="7">IFERROR(CORREL(I67:I198, E67:E198), "N/A")</f>
        <v>-4.9496423073355729E-2</v>
      </c>
      <c r="K67">
        <v>8.8000000000000007</v>
      </c>
      <c r="L67">
        <v>72.900000000000006</v>
      </c>
      <c r="M67">
        <v>1006.4</v>
      </c>
      <c r="N67">
        <v>8</v>
      </c>
      <c r="O67">
        <v>0</v>
      </c>
    </row>
    <row r="68" spans="1:15">
      <c r="A68">
        <v>2019</v>
      </c>
      <c r="B68" s="1">
        <f t="shared" si="4"/>
        <v>43647</v>
      </c>
      <c r="C68">
        <v>7</v>
      </c>
      <c r="D68" t="str">
        <f t="shared" si="5"/>
        <v>July</v>
      </c>
      <c r="E68">
        <v>1</v>
      </c>
      <c r="F68">
        <v>0.7</v>
      </c>
      <c r="G68" t="str">
        <f t="shared" si="6"/>
        <v>El Niño</v>
      </c>
      <c r="H68">
        <v>0.73</v>
      </c>
      <c r="I68">
        <v>-0.11</v>
      </c>
      <c r="J68">
        <f t="shared" si="7"/>
        <v>-8.7642221141039173E-2</v>
      </c>
      <c r="K68">
        <v>8.6</v>
      </c>
      <c r="L68">
        <v>68.5</v>
      </c>
      <c r="M68">
        <v>1006.1</v>
      </c>
      <c r="N68">
        <v>8</v>
      </c>
      <c r="O68">
        <v>4</v>
      </c>
    </row>
    <row r="69" spans="1:15">
      <c r="A69">
        <v>2019</v>
      </c>
      <c r="B69" s="1">
        <f t="shared" si="4"/>
        <v>43678</v>
      </c>
      <c r="C69">
        <v>8</v>
      </c>
      <c r="D69" t="str">
        <f t="shared" si="5"/>
        <v>August</v>
      </c>
      <c r="E69">
        <v>1</v>
      </c>
      <c r="F69">
        <v>0.64</v>
      </c>
      <c r="G69" t="str">
        <f t="shared" si="6"/>
        <v>El Niño</v>
      </c>
      <c r="H69">
        <v>0.7</v>
      </c>
      <c r="I69">
        <v>-0.28999999999999998</v>
      </c>
      <c r="J69">
        <f t="shared" si="7"/>
        <v>-9.1556290490285769E-2</v>
      </c>
      <c r="K69">
        <v>7.9</v>
      </c>
      <c r="L69">
        <v>73.8</v>
      </c>
      <c r="M69">
        <v>1004.6</v>
      </c>
      <c r="N69">
        <v>3</v>
      </c>
      <c r="O69">
        <v>1</v>
      </c>
    </row>
    <row r="70" spans="1:15">
      <c r="A70">
        <v>2019</v>
      </c>
      <c r="B70" s="1">
        <f t="shared" si="4"/>
        <v>43709</v>
      </c>
      <c r="C70">
        <v>9</v>
      </c>
      <c r="D70" t="str">
        <f t="shared" si="5"/>
        <v>September</v>
      </c>
      <c r="E70">
        <v>1</v>
      </c>
      <c r="F70">
        <v>0.49</v>
      </c>
      <c r="G70" t="str">
        <f t="shared" si="6"/>
        <v>Neutral</v>
      </c>
      <c r="H70">
        <v>0.48</v>
      </c>
      <c r="I70">
        <v>0.43</v>
      </c>
      <c r="J70">
        <f t="shared" si="7"/>
        <v>-9.9762723777022499E-2</v>
      </c>
      <c r="K70">
        <v>8.5</v>
      </c>
      <c r="L70">
        <v>69.8</v>
      </c>
      <c r="M70">
        <v>1005.9</v>
      </c>
      <c r="N70">
        <v>2</v>
      </c>
      <c r="O70">
        <v>1</v>
      </c>
    </row>
    <row r="71" spans="1:15">
      <c r="A71">
        <v>2019</v>
      </c>
      <c r="B71" s="1">
        <f t="shared" si="4"/>
        <v>43739</v>
      </c>
      <c r="C71">
        <v>10</v>
      </c>
      <c r="D71" t="str">
        <f t="shared" si="5"/>
        <v>October</v>
      </c>
      <c r="E71">
        <v>3</v>
      </c>
      <c r="F71">
        <v>0.73</v>
      </c>
      <c r="G71" t="str">
        <f t="shared" si="6"/>
        <v>El Niño</v>
      </c>
      <c r="H71">
        <v>0.79</v>
      </c>
      <c r="I71">
        <v>-0.34</v>
      </c>
      <c r="J71">
        <f t="shared" si="7"/>
        <v>-9.4355218415487593E-2</v>
      </c>
      <c r="K71">
        <v>9.3000000000000007</v>
      </c>
      <c r="L71">
        <v>69.400000000000006</v>
      </c>
      <c r="M71">
        <v>1004.1</v>
      </c>
      <c r="N71">
        <v>6</v>
      </c>
      <c r="O71">
        <v>1</v>
      </c>
    </row>
    <row r="72" spans="1:15">
      <c r="A72">
        <v>2019</v>
      </c>
      <c r="B72" s="1">
        <f t="shared" si="4"/>
        <v>43770</v>
      </c>
      <c r="C72">
        <v>11</v>
      </c>
      <c r="D72" t="str">
        <f t="shared" si="5"/>
        <v>November</v>
      </c>
      <c r="E72">
        <v>3</v>
      </c>
      <c r="F72">
        <v>0.72</v>
      </c>
      <c r="G72" t="str">
        <f t="shared" si="6"/>
        <v>El Niño</v>
      </c>
      <c r="H72">
        <v>0.77</v>
      </c>
      <c r="I72">
        <v>-0.45</v>
      </c>
      <c r="J72">
        <f t="shared" si="7"/>
        <v>-7.9744145001669431E-2</v>
      </c>
      <c r="K72">
        <v>9.5</v>
      </c>
      <c r="L72">
        <v>66.8</v>
      </c>
      <c r="M72">
        <v>1008</v>
      </c>
      <c r="N72">
        <v>2</v>
      </c>
      <c r="O72">
        <v>3</v>
      </c>
    </row>
    <row r="73" spans="1:15">
      <c r="A73">
        <v>2019</v>
      </c>
      <c r="B73" s="1">
        <f t="shared" si="4"/>
        <v>43800</v>
      </c>
      <c r="C73">
        <v>12</v>
      </c>
      <c r="D73" t="str">
        <f t="shared" si="5"/>
        <v>December</v>
      </c>
      <c r="E73">
        <v>0</v>
      </c>
      <c r="F73">
        <v>0.66</v>
      </c>
      <c r="G73" t="str">
        <f t="shared" si="6"/>
        <v>El Niño</v>
      </c>
      <c r="H73">
        <v>0.59</v>
      </c>
      <c r="I73">
        <v>-0.1</v>
      </c>
      <c r="J73">
        <f t="shared" si="7"/>
        <v>-6.0234100586494609E-2</v>
      </c>
      <c r="K73">
        <v>11.6</v>
      </c>
      <c r="L73">
        <v>54.8</v>
      </c>
      <c r="M73">
        <v>1009.5</v>
      </c>
      <c r="N73">
        <v>0</v>
      </c>
      <c r="O73">
        <v>3</v>
      </c>
    </row>
    <row r="74" spans="1:15">
      <c r="A74">
        <v>2020</v>
      </c>
      <c r="B74" s="1">
        <f t="shared" si="4"/>
        <v>43831</v>
      </c>
      <c r="C74">
        <v>1</v>
      </c>
      <c r="D74" t="str">
        <f t="shared" si="5"/>
        <v>January</v>
      </c>
      <c r="E74">
        <v>0</v>
      </c>
      <c r="F74">
        <v>-0.98</v>
      </c>
      <c r="G74" t="str">
        <f t="shared" si="6"/>
        <v>La Niña</v>
      </c>
      <c r="H74">
        <v>-0.98</v>
      </c>
      <c r="I74">
        <v>-0.12</v>
      </c>
      <c r="J74">
        <f t="shared" si="7"/>
        <v>-7.1096242431691145E-2</v>
      </c>
      <c r="K74">
        <v>12</v>
      </c>
      <c r="L74">
        <v>58.5</v>
      </c>
      <c r="M74">
        <v>1008.4</v>
      </c>
      <c r="N74">
        <v>4</v>
      </c>
      <c r="O74">
        <v>0</v>
      </c>
    </row>
    <row r="75" spans="1:15">
      <c r="A75">
        <v>2020</v>
      </c>
      <c r="B75" s="1">
        <f t="shared" si="4"/>
        <v>43862</v>
      </c>
      <c r="C75">
        <v>2</v>
      </c>
      <c r="D75" t="str">
        <f t="shared" si="5"/>
        <v>February</v>
      </c>
      <c r="E75">
        <v>3</v>
      </c>
      <c r="F75">
        <v>-1.07</v>
      </c>
      <c r="G75" t="str">
        <f t="shared" si="6"/>
        <v>La Niña</v>
      </c>
      <c r="H75">
        <v>-1.1000000000000001</v>
      </c>
      <c r="I75">
        <v>-0.16</v>
      </c>
      <c r="J75">
        <f t="shared" si="7"/>
        <v>-8.3661597741433391E-2</v>
      </c>
      <c r="K75">
        <v>12.3</v>
      </c>
      <c r="L75">
        <v>51.1</v>
      </c>
      <c r="M75">
        <v>1010.9</v>
      </c>
      <c r="N75">
        <v>8</v>
      </c>
      <c r="O75">
        <v>0</v>
      </c>
    </row>
    <row r="76" spans="1:15">
      <c r="A76">
        <v>2020</v>
      </c>
      <c r="B76" s="1">
        <f t="shared" si="4"/>
        <v>43891</v>
      </c>
      <c r="C76">
        <v>3</v>
      </c>
      <c r="D76" t="str">
        <f t="shared" si="5"/>
        <v>March</v>
      </c>
      <c r="E76">
        <v>0</v>
      </c>
      <c r="F76">
        <v>-0.96</v>
      </c>
      <c r="G76" t="str">
        <f t="shared" si="6"/>
        <v>La Niña</v>
      </c>
      <c r="H76">
        <v>-0.89</v>
      </c>
      <c r="I76">
        <v>0.5</v>
      </c>
      <c r="J76">
        <f t="shared" si="7"/>
        <v>-7.3550747718197418E-2</v>
      </c>
      <c r="K76">
        <v>14</v>
      </c>
      <c r="L76">
        <v>51.7</v>
      </c>
      <c r="M76">
        <v>1010.3</v>
      </c>
      <c r="N76">
        <v>4</v>
      </c>
      <c r="O76">
        <v>3</v>
      </c>
    </row>
    <row r="77" spans="1:15">
      <c r="A77">
        <v>2020</v>
      </c>
      <c r="B77" s="1">
        <f t="shared" si="4"/>
        <v>43922</v>
      </c>
      <c r="C77">
        <v>4</v>
      </c>
      <c r="D77" t="str">
        <f t="shared" si="5"/>
        <v>April</v>
      </c>
      <c r="E77">
        <v>0</v>
      </c>
      <c r="F77">
        <v>-1</v>
      </c>
      <c r="G77" t="str">
        <f t="shared" si="6"/>
        <v>La Niña</v>
      </c>
      <c r="H77">
        <v>-0.97</v>
      </c>
      <c r="I77">
        <v>0.62</v>
      </c>
      <c r="J77">
        <f t="shared" si="7"/>
        <v>-5.4849689778075722E-2</v>
      </c>
      <c r="K77">
        <v>10.4</v>
      </c>
      <c r="L77">
        <v>57.9</v>
      </c>
      <c r="M77">
        <v>1007.4</v>
      </c>
      <c r="N77">
        <v>6</v>
      </c>
      <c r="O77">
        <v>0</v>
      </c>
    </row>
    <row r="78" spans="1:15">
      <c r="A78">
        <v>2020</v>
      </c>
      <c r="B78" s="1">
        <f t="shared" si="4"/>
        <v>43952</v>
      </c>
      <c r="C78">
        <v>5</v>
      </c>
      <c r="D78" t="str">
        <f t="shared" si="5"/>
        <v>May</v>
      </c>
      <c r="E78">
        <v>1</v>
      </c>
      <c r="F78">
        <v>-0.99</v>
      </c>
      <c r="G78" t="str">
        <f t="shared" si="6"/>
        <v>La Niña</v>
      </c>
      <c r="H78">
        <v>-0.97</v>
      </c>
      <c r="I78">
        <v>-0.12</v>
      </c>
      <c r="J78">
        <f t="shared" si="7"/>
        <v>-2.8309115774870042E-2</v>
      </c>
      <c r="K78">
        <v>11.3</v>
      </c>
      <c r="L78">
        <v>54.6</v>
      </c>
      <c r="M78">
        <v>1008.6</v>
      </c>
      <c r="N78">
        <v>2</v>
      </c>
      <c r="O78">
        <v>0</v>
      </c>
    </row>
    <row r="79" spans="1:15">
      <c r="A79">
        <v>2020</v>
      </c>
      <c r="B79" s="1">
        <f t="shared" si="4"/>
        <v>43983</v>
      </c>
      <c r="C79">
        <v>6</v>
      </c>
      <c r="D79" t="str">
        <f t="shared" si="5"/>
        <v>June</v>
      </c>
      <c r="E79">
        <v>3</v>
      </c>
      <c r="F79">
        <v>-0.91</v>
      </c>
      <c r="G79" t="str">
        <f t="shared" si="6"/>
        <v>La Niña</v>
      </c>
      <c r="H79">
        <v>-0.87</v>
      </c>
      <c r="I79">
        <v>0.21</v>
      </c>
      <c r="J79">
        <f t="shared" si="7"/>
        <v>-3.3839950442120043E-2</v>
      </c>
      <c r="K79">
        <v>7.5</v>
      </c>
      <c r="L79">
        <v>67.8</v>
      </c>
      <c r="M79">
        <v>1003.4</v>
      </c>
      <c r="N79">
        <v>5</v>
      </c>
      <c r="O79">
        <v>1</v>
      </c>
    </row>
    <row r="80" spans="1:15">
      <c r="A80">
        <v>2020</v>
      </c>
      <c r="B80" s="1">
        <f t="shared" si="4"/>
        <v>44013</v>
      </c>
      <c r="C80">
        <v>7</v>
      </c>
      <c r="D80" t="str">
        <f t="shared" si="5"/>
        <v>July</v>
      </c>
      <c r="E80">
        <v>2</v>
      </c>
      <c r="F80">
        <v>-1.03</v>
      </c>
      <c r="G80" t="str">
        <f t="shared" si="6"/>
        <v>La Niña</v>
      </c>
      <c r="H80">
        <v>-1.03</v>
      </c>
      <c r="I80">
        <v>0.52</v>
      </c>
      <c r="J80">
        <f t="shared" si="7"/>
        <v>-3.8348167785620432E-2</v>
      </c>
      <c r="K80">
        <v>8</v>
      </c>
      <c r="L80">
        <v>72.400000000000006</v>
      </c>
      <c r="M80">
        <v>1006.2</v>
      </c>
      <c r="N80">
        <v>6</v>
      </c>
      <c r="O80">
        <v>3</v>
      </c>
    </row>
    <row r="81" spans="1:15">
      <c r="A81">
        <v>2020</v>
      </c>
      <c r="B81" s="1">
        <f t="shared" si="4"/>
        <v>44044</v>
      </c>
      <c r="C81">
        <v>8</v>
      </c>
      <c r="D81" t="str">
        <f t="shared" si="5"/>
        <v>August</v>
      </c>
      <c r="E81">
        <v>4</v>
      </c>
      <c r="F81">
        <v>-1.0900000000000001</v>
      </c>
      <c r="G81" t="str">
        <f t="shared" si="6"/>
        <v>La Niña</v>
      </c>
      <c r="H81">
        <v>-1.19</v>
      </c>
      <c r="I81">
        <v>-0.36</v>
      </c>
      <c r="J81">
        <f t="shared" si="7"/>
        <v>-4.2916413915191541E-2</v>
      </c>
      <c r="K81">
        <v>8.5</v>
      </c>
      <c r="L81">
        <v>68.900000000000006</v>
      </c>
      <c r="M81">
        <v>1006.2</v>
      </c>
      <c r="N81">
        <v>5</v>
      </c>
      <c r="O81">
        <v>2</v>
      </c>
    </row>
    <row r="82" spans="1:15">
      <c r="A82">
        <v>2020</v>
      </c>
      <c r="B82" s="1">
        <f t="shared" si="4"/>
        <v>44075</v>
      </c>
      <c r="C82">
        <v>9</v>
      </c>
      <c r="D82" t="str">
        <f t="shared" si="5"/>
        <v>September</v>
      </c>
      <c r="E82">
        <v>3</v>
      </c>
      <c r="F82">
        <v>-1.06</v>
      </c>
      <c r="G82" t="str">
        <f t="shared" si="6"/>
        <v>La Niña</v>
      </c>
      <c r="H82">
        <v>-1.05</v>
      </c>
      <c r="I82">
        <v>0.37</v>
      </c>
      <c r="J82">
        <f t="shared" si="7"/>
        <v>-8.0664274143523364E-3</v>
      </c>
      <c r="K82">
        <v>8.4</v>
      </c>
      <c r="L82">
        <v>69.5</v>
      </c>
      <c r="M82">
        <v>1005.3</v>
      </c>
      <c r="N82">
        <v>1</v>
      </c>
      <c r="O82">
        <v>4</v>
      </c>
    </row>
    <row r="83" spans="1:15">
      <c r="A83">
        <v>2020</v>
      </c>
      <c r="B83" s="1">
        <f t="shared" si="4"/>
        <v>44105</v>
      </c>
      <c r="C83">
        <v>10</v>
      </c>
      <c r="D83" t="str">
        <f t="shared" si="5"/>
        <v>October</v>
      </c>
      <c r="E83">
        <v>2</v>
      </c>
      <c r="F83">
        <v>-1.02</v>
      </c>
      <c r="G83" t="str">
        <f t="shared" si="6"/>
        <v>La Niña</v>
      </c>
      <c r="H83">
        <v>-0.99</v>
      </c>
      <c r="I83">
        <v>0.25</v>
      </c>
      <c r="J83">
        <f t="shared" si="7"/>
        <v>-2.0631321329270102E-2</v>
      </c>
      <c r="K83">
        <v>9.9</v>
      </c>
      <c r="L83">
        <v>61.6</v>
      </c>
      <c r="M83">
        <v>1006.4</v>
      </c>
      <c r="N83">
        <v>5</v>
      </c>
      <c r="O83">
        <v>3</v>
      </c>
    </row>
    <row r="84" spans="1:15">
      <c r="A84">
        <v>2020</v>
      </c>
      <c r="B84" s="1">
        <f t="shared" si="4"/>
        <v>44136</v>
      </c>
      <c r="C84">
        <v>11</v>
      </c>
      <c r="D84" t="str">
        <f t="shared" si="5"/>
        <v>November</v>
      </c>
      <c r="E84">
        <v>3</v>
      </c>
      <c r="F84">
        <v>-1.22</v>
      </c>
      <c r="G84" t="str">
        <f t="shared" si="6"/>
        <v>La Niña</v>
      </c>
      <c r="H84">
        <v>-1.27</v>
      </c>
      <c r="I84">
        <v>0.47</v>
      </c>
      <c r="J84">
        <f t="shared" si="7"/>
        <v>-2.2573634006643001E-2</v>
      </c>
      <c r="K84">
        <v>10</v>
      </c>
      <c r="L84">
        <v>66.900000000000006</v>
      </c>
      <c r="M84">
        <v>1006.7</v>
      </c>
      <c r="N84">
        <v>5</v>
      </c>
      <c r="O84">
        <v>2</v>
      </c>
    </row>
    <row r="85" spans="1:15">
      <c r="A85">
        <v>2020</v>
      </c>
      <c r="B85" s="1">
        <f t="shared" si="4"/>
        <v>44166</v>
      </c>
      <c r="C85">
        <v>12</v>
      </c>
      <c r="D85" t="str">
        <f t="shared" si="5"/>
        <v>December</v>
      </c>
      <c r="E85">
        <v>4</v>
      </c>
      <c r="F85">
        <v>-0.84</v>
      </c>
      <c r="G85" t="str">
        <f t="shared" si="6"/>
        <v>La Niña</v>
      </c>
      <c r="H85">
        <v>-0.83</v>
      </c>
      <c r="I85">
        <v>0.28999999999999998</v>
      </c>
      <c r="J85">
        <f t="shared" si="7"/>
        <v>-4.1475492018516344E-2</v>
      </c>
      <c r="K85">
        <v>11.8</v>
      </c>
      <c r="L85">
        <v>52.6</v>
      </c>
      <c r="M85">
        <v>1010.2</v>
      </c>
      <c r="N85">
        <v>8</v>
      </c>
      <c r="O85">
        <v>3</v>
      </c>
    </row>
    <row r="86" spans="1:15">
      <c r="A86">
        <v>2021</v>
      </c>
      <c r="B86" s="1">
        <f t="shared" si="4"/>
        <v>44197</v>
      </c>
      <c r="C86">
        <v>1</v>
      </c>
      <c r="D86" t="str">
        <f t="shared" si="5"/>
        <v>January</v>
      </c>
      <c r="E86">
        <v>0</v>
      </c>
      <c r="F86">
        <v>-0.67</v>
      </c>
      <c r="G86" t="str">
        <f t="shared" si="6"/>
        <v>La Niña</v>
      </c>
      <c r="H86">
        <v>-0.74</v>
      </c>
      <c r="I86">
        <v>-0.1</v>
      </c>
      <c r="J86">
        <f t="shared" si="7"/>
        <v>-6.0188908454909269E-2</v>
      </c>
      <c r="K86">
        <v>13.5</v>
      </c>
      <c r="L86">
        <v>52.5</v>
      </c>
      <c r="M86">
        <v>1010.6</v>
      </c>
      <c r="N86">
        <v>7</v>
      </c>
      <c r="O86">
        <v>4</v>
      </c>
    </row>
    <row r="87" spans="1:15">
      <c r="A87">
        <v>2021</v>
      </c>
      <c r="B87" s="1">
        <f t="shared" si="4"/>
        <v>44228</v>
      </c>
      <c r="C87">
        <v>2</v>
      </c>
      <c r="D87" t="str">
        <f t="shared" si="5"/>
        <v>February</v>
      </c>
      <c r="E87">
        <v>1</v>
      </c>
      <c r="F87">
        <v>-0.7</v>
      </c>
      <c r="G87" t="str">
        <f t="shared" si="6"/>
        <v>La Niña</v>
      </c>
      <c r="H87">
        <v>-0.72</v>
      </c>
      <c r="I87">
        <v>0.53</v>
      </c>
      <c r="J87">
        <f t="shared" si="7"/>
        <v>-7.1740021198250611E-2</v>
      </c>
      <c r="K87">
        <v>13.5</v>
      </c>
      <c r="L87">
        <v>53.8</v>
      </c>
      <c r="M87">
        <v>1009.3</v>
      </c>
      <c r="N87">
        <v>8</v>
      </c>
      <c r="O87">
        <v>0</v>
      </c>
    </row>
    <row r="88" spans="1:15">
      <c r="A88">
        <v>2021</v>
      </c>
      <c r="B88" s="1">
        <f t="shared" si="4"/>
        <v>44256</v>
      </c>
      <c r="C88">
        <v>3</v>
      </c>
      <c r="D88" t="str">
        <f t="shared" si="5"/>
        <v>March</v>
      </c>
      <c r="E88">
        <v>0</v>
      </c>
      <c r="F88">
        <v>-0.91</v>
      </c>
      <c r="G88" t="str">
        <f t="shared" si="6"/>
        <v>La Niña</v>
      </c>
      <c r="H88">
        <v>-0.94</v>
      </c>
      <c r="I88">
        <v>-0.28000000000000003</v>
      </c>
      <c r="J88">
        <f t="shared" si="7"/>
        <v>-6.3339621130688403E-2</v>
      </c>
      <c r="K88">
        <v>12.8</v>
      </c>
      <c r="L88">
        <v>58.2</v>
      </c>
      <c r="M88">
        <v>1009.4</v>
      </c>
      <c r="N88">
        <v>4</v>
      </c>
      <c r="O88">
        <v>1</v>
      </c>
    </row>
    <row r="89" spans="1:15">
      <c r="A89">
        <v>2021</v>
      </c>
      <c r="B89" s="1">
        <f t="shared" si="4"/>
        <v>44287</v>
      </c>
      <c r="C89">
        <v>4</v>
      </c>
      <c r="D89" t="str">
        <f t="shared" si="5"/>
        <v>April</v>
      </c>
      <c r="E89">
        <v>0</v>
      </c>
      <c r="F89">
        <v>-0.89</v>
      </c>
      <c r="G89" t="str">
        <f t="shared" si="6"/>
        <v>La Niña</v>
      </c>
      <c r="H89">
        <v>-0.87</v>
      </c>
      <c r="I89">
        <v>0.23</v>
      </c>
      <c r="J89">
        <f t="shared" si="7"/>
        <v>-8.7646701199414215E-2</v>
      </c>
      <c r="K89">
        <v>10.7</v>
      </c>
      <c r="L89">
        <v>56.7</v>
      </c>
      <c r="M89">
        <v>1007.7</v>
      </c>
      <c r="N89">
        <v>4</v>
      </c>
      <c r="O89">
        <v>0</v>
      </c>
    </row>
    <row r="90" spans="1:15">
      <c r="A90">
        <v>2021</v>
      </c>
      <c r="B90" s="1">
        <f t="shared" si="4"/>
        <v>44317</v>
      </c>
      <c r="C90">
        <v>5</v>
      </c>
      <c r="D90" t="str">
        <f t="shared" si="5"/>
        <v>May</v>
      </c>
      <c r="E90">
        <v>0</v>
      </c>
      <c r="F90">
        <v>-1</v>
      </c>
      <c r="G90" t="str">
        <f t="shared" si="6"/>
        <v>La Niña</v>
      </c>
      <c r="H90">
        <v>-0.99</v>
      </c>
      <c r="I90">
        <v>0.36</v>
      </c>
      <c r="J90">
        <f t="shared" si="7"/>
        <v>-7.9275367633223875E-2</v>
      </c>
      <c r="K90">
        <v>10.6</v>
      </c>
      <c r="L90">
        <v>56.5</v>
      </c>
      <c r="M90">
        <v>1008.5</v>
      </c>
      <c r="N90">
        <v>0</v>
      </c>
      <c r="O90">
        <v>0</v>
      </c>
    </row>
    <row r="91" spans="1:15">
      <c r="A91">
        <v>2021</v>
      </c>
      <c r="B91" s="1">
        <f t="shared" si="4"/>
        <v>44348</v>
      </c>
      <c r="C91">
        <v>6</v>
      </c>
      <c r="D91" t="str">
        <f t="shared" si="5"/>
        <v>June</v>
      </c>
      <c r="E91">
        <v>1</v>
      </c>
      <c r="F91">
        <v>-0.87</v>
      </c>
      <c r="G91" t="str">
        <f t="shared" si="6"/>
        <v>La Niña</v>
      </c>
      <c r="H91">
        <v>-0.93</v>
      </c>
      <c r="I91">
        <v>-0.13</v>
      </c>
      <c r="J91">
        <f t="shared" si="7"/>
        <v>-6.1903968400281839E-2</v>
      </c>
      <c r="K91">
        <v>7.7</v>
      </c>
      <c r="L91">
        <v>71.5</v>
      </c>
      <c r="M91">
        <v>1005.2</v>
      </c>
      <c r="N91">
        <v>8</v>
      </c>
      <c r="O91">
        <v>0</v>
      </c>
    </row>
    <row r="92" spans="1:15">
      <c r="A92">
        <v>2021</v>
      </c>
      <c r="B92" s="1">
        <f t="shared" si="4"/>
        <v>44378</v>
      </c>
      <c r="C92">
        <v>7</v>
      </c>
      <c r="D92" t="str">
        <f t="shared" si="5"/>
        <v>July</v>
      </c>
      <c r="E92">
        <v>0</v>
      </c>
      <c r="F92">
        <v>-0.81</v>
      </c>
      <c r="G92" t="str">
        <f t="shared" si="6"/>
        <v>La Niña</v>
      </c>
      <c r="H92">
        <v>-0.81</v>
      </c>
      <c r="I92">
        <v>0.49</v>
      </c>
      <c r="J92">
        <f t="shared" si="7"/>
        <v>-6.8482201952588556E-2</v>
      </c>
      <c r="K92">
        <v>7.8</v>
      </c>
      <c r="L92">
        <v>69.900000000000006</v>
      </c>
      <c r="M92">
        <v>1005.4</v>
      </c>
      <c r="N92">
        <v>3</v>
      </c>
      <c r="O92">
        <v>1</v>
      </c>
    </row>
    <row r="93" spans="1:15">
      <c r="A93">
        <v>2021</v>
      </c>
      <c r="B93" s="1">
        <f t="shared" si="4"/>
        <v>44409</v>
      </c>
      <c r="C93">
        <v>8</v>
      </c>
      <c r="D93" t="str">
        <f t="shared" si="5"/>
        <v>August</v>
      </c>
      <c r="E93">
        <v>3</v>
      </c>
      <c r="F93">
        <v>-0.87</v>
      </c>
      <c r="G93" t="str">
        <f t="shared" si="6"/>
        <v>La Niña</v>
      </c>
      <c r="H93">
        <v>-0.9</v>
      </c>
      <c r="I93">
        <v>0.13</v>
      </c>
      <c r="J93">
        <f t="shared" si="7"/>
        <v>-4.0719798730663705E-2</v>
      </c>
      <c r="K93">
        <v>8.8000000000000007</v>
      </c>
      <c r="L93">
        <v>69.8</v>
      </c>
      <c r="M93">
        <v>1005.5</v>
      </c>
      <c r="N93">
        <v>4</v>
      </c>
      <c r="O93">
        <v>0</v>
      </c>
    </row>
    <row r="94" spans="1:15">
      <c r="A94">
        <v>2021</v>
      </c>
      <c r="B94" s="1">
        <f t="shared" si="4"/>
        <v>44440</v>
      </c>
      <c r="C94">
        <v>9</v>
      </c>
      <c r="D94" t="str">
        <f t="shared" si="5"/>
        <v>September</v>
      </c>
      <c r="E94">
        <v>2</v>
      </c>
      <c r="F94">
        <v>-0.88</v>
      </c>
      <c r="G94" t="str">
        <f t="shared" si="6"/>
        <v>La Niña</v>
      </c>
      <c r="H94">
        <v>-0.94</v>
      </c>
      <c r="I94">
        <v>-0.09</v>
      </c>
      <c r="J94">
        <f t="shared" si="7"/>
        <v>-4.3920267511119736E-2</v>
      </c>
      <c r="K94">
        <v>7.8</v>
      </c>
      <c r="L94">
        <v>74.400000000000006</v>
      </c>
      <c r="M94">
        <v>1004.4</v>
      </c>
      <c r="N94">
        <v>4</v>
      </c>
      <c r="O94">
        <v>3</v>
      </c>
    </row>
    <row r="95" spans="1:15">
      <c r="A95">
        <v>2021</v>
      </c>
      <c r="B95" s="1">
        <f t="shared" si="4"/>
        <v>44470</v>
      </c>
      <c r="C95">
        <v>10</v>
      </c>
      <c r="D95" t="str">
        <f t="shared" si="5"/>
        <v>October</v>
      </c>
      <c r="E95">
        <v>3</v>
      </c>
      <c r="F95">
        <v>-1.07</v>
      </c>
      <c r="G95" t="str">
        <f t="shared" si="6"/>
        <v>La Niña</v>
      </c>
      <c r="H95">
        <v>-0.96</v>
      </c>
      <c r="I95">
        <v>0.63</v>
      </c>
      <c r="J95">
        <f t="shared" si="7"/>
        <v>-4.2358024353662843E-2</v>
      </c>
      <c r="K95">
        <v>9</v>
      </c>
      <c r="L95">
        <v>65.2</v>
      </c>
      <c r="M95">
        <v>1006.2</v>
      </c>
      <c r="N95">
        <v>1</v>
      </c>
      <c r="O95">
        <v>2</v>
      </c>
    </row>
    <row r="96" spans="1:15">
      <c r="A96">
        <v>2021</v>
      </c>
      <c r="B96" s="1">
        <f t="shared" si="4"/>
        <v>44501</v>
      </c>
      <c r="C96">
        <v>11</v>
      </c>
      <c r="D96" t="str">
        <f t="shared" si="5"/>
        <v>November</v>
      </c>
      <c r="E96">
        <v>1</v>
      </c>
      <c r="F96">
        <v>-0.92</v>
      </c>
      <c r="G96" t="str">
        <f t="shared" si="6"/>
        <v>La Niña</v>
      </c>
      <c r="H96">
        <v>-0.86</v>
      </c>
      <c r="I96">
        <v>0.35</v>
      </c>
      <c r="J96">
        <f t="shared" si="7"/>
        <v>-7.5734176949594612E-2</v>
      </c>
      <c r="K96">
        <v>9.3000000000000007</v>
      </c>
      <c r="L96">
        <v>62.5</v>
      </c>
      <c r="M96">
        <v>1006.5</v>
      </c>
      <c r="N96">
        <v>3</v>
      </c>
      <c r="O96">
        <v>3</v>
      </c>
    </row>
    <row r="97" spans="1:15">
      <c r="A97">
        <v>2021</v>
      </c>
      <c r="B97" s="1">
        <f t="shared" si="4"/>
        <v>44531</v>
      </c>
      <c r="C97">
        <v>12</v>
      </c>
      <c r="D97" t="str">
        <f t="shared" si="5"/>
        <v>December</v>
      </c>
      <c r="E97">
        <v>3</v>
      </c>
      <c r="F97">
        <v>-0.75</v>
      </c>
      <c r="G97" t="str">
        <f t="shared" si="6"/>
        <v>La Niña</v>
      </c>
      <c r="H97">
        <v>-0.64</v>
      </c>
      <c r="I97">
        <v>0.28999999999999998</v>
      </c>
      <c r="J97">
        <f t="shared" si="7"/>
        <v>-6.7443600212300975E-2</v>
      </c>
      <c r="K97">
        <v>12.4</v>
      </c>
      <c r="L97">
        <v>54.4</v>
      </c>
      <c r="M97">
        <v>1010</v>
      </c>
      <c r="N97">
        <v>6</v>
      </c>
      <c r="O97">
        <v>1</v>
      </c>
    </row>
    <row r="98" spans="1:15">
      <c r="A98">
        <v>2022</v>
      </c>
      <c r="B98" s="1">
        <f t="shared" si="4"/>
        <v>44562</v>
      </c>
      <c r="C98">
        <v>1</v>
      </c>
      <c r="D98" t="str">
        <f t="shared" si="5"/>
        <v>January</v>
      </c>
      <c r="E98">
        <v>0</v>
      </c>
      <c r="F98">
        <v>-0.93</v>
      </c>
      <c r="G98" t="str">
        <f t="shared" si="6"/>
        <v>La Niña</v>
      </c>
      <c r="H98">
        <v>-0.95</v>
      </c>
      <c r="I98">
        <v>-0.37</v>
      </c>
      <c r="J98">
        <f t="shared" si="7"/>
        <v>-8.232455845823082E-2</v>
      </c>
      <c r="K98">
        <v>12.3</v>
      </c>
      <c r="L98">
        <v>58.8</v>
      </c>
      <c r="M98">
        <v>1010.4</v>
      </c>
      <c r="N98">
        <v>2</v>
      </c>
      <c r="O98">
        <v>3</v>
      </c>
    </row>
    <row r="99" spans="1:15">
      <c r="A99">
        <v>2022</v>
      </c>
      <c r="B99" s="1">
        <f t="shared" si="4"/>
        <v>44593</v>
      </c>
      <c r="C99">
        <v>2</v>
      </c>
      <c r="D99" t="str">
        <f t="shared" si="5"/>
        <v>February</v>
      </c>
      <c r="E99">
        <v>0</v>
      </c>
      <c r="F99">
        <v>-1.25</v>
      </c>
      <c r="G99" t="str">
        <f t="shared" si="6"/>
        <v>La Niña</v>
      </c>
      <c r="H99">
        <v>-1.29</v>
      </c>
      <c r="I99">
        <v>-0.26</v>
      </c>
      <c r="J99">
        <f t="shared" si="7"/>
        <v>-0.11933958968223371</v>
      </c>
      <c r="K99">
        <v>12.3</v>
      </c>
      <c r="L99">
        <v>57.7</v>
      </c>
      <c r="M99">
        <v>1010.2</v>
      </c>
      <c r="N99">
        <v>1</v>
      </c>
      <c r="O99">
        <v>0</v>
      </c>
    </row>
    <row r="100" spans="1:15">
      <c r="A100">
        <v>2022</v>
      </c>
      <c r="B100" s="1">
        <f t="shared" si="4"/>
        <v>44621</v>
      </c>
      <c r="C100">
        <v>3</v>
      </c>
      <c r="D100" t="str">
        <f t="shared" si="5"/>
        <v>March</v>
      </c>
      <c r="E100">
        <v>0</v>
      </c>
      <c r="F100">
        <v>-1.0900000000000001</v>
      </c>
      <c r="G100" t="str">
        <f t="shared" si="6"/>
        <v>La Niña</v>
      </c>
      <c r="H100">
        <v>-1.1000000000000001</v>
      </c>
      <c r="I100">
        <v>-0.08</v>
      </c>
      <c r="J100">
        <f t="shared" si="7"/>
        <v>-0.15008958143407264</v>
      </c>
      <c r="K100">
        <v>13</v>
      </c>
      <c r="L100">
        <v>52.8</v>
      </c>
      <c r="M100">
        <v>1009.6</v>
      </c>
      <c r="N100">
        <v>6</v>
      </c>
      <c r="O100">
        <v>0</v>
      </c>
    </row>
    <row r="101" spans="1:15">
      <c r="A101">
        <v>2022</v>
      </c>
      <c r="B101" s="1">
        <f t="shared" si="4"/>
        <v>44652</v>
      </c>
      <c r="C101">
        <v>4</v>
      </c>
      <c r="D101" t="str">
        <f t="shared" si="5"/>
        <v>April</v>
      </c>
      <c r="E101">
        <v>1</v>
      </c>
      <c r="F101">
        <v>-1.3</v>
      </c>
      <c r="G101" t="str">
        <f t="shared" si="6"/>
        <v>La Niña</v>
      </c>
      <c r="H101">
        <v>-1.29</v>
      </c>
      <c r="I101">
        <v>0.31</v>
      </c>
      <c r="J101">
        <f t="shared" si="7"/>
        <v>-0.16576562653857721</v>
      </c>
      <c r="K101">
        <v>10.4</v>
      </c>
      <c r="L101">
        <v>63.2</v>
      </c>
      <c r="M101">
        <v>1007</v>
      </c>
      <c r="N101">
        <v>6</v>
      </c>
      <c r="O101">
        <v>0</v>
      </c>
    </row>
    <row r="102" spans="1:15">
      <c r="A102">
        <v>2022</v>
      </c>
      <c r="B102" s="1">
        <f t="shared" si="4"/>
        <v>44682</v>
      </c>
      <c r="C102">
        <v>5</v>
      </c>
      <c r="D102" t="str">
        <f t="shared" si="5"/>
        <v>May</v>
      </c>
      <c r="E102">
        <v>1</v>
      </c>
      <c r="F102">
        <v>-1.1499999999999999</v>
      </c>
      <c r="G102" t="str">
        <f t="shared" si="6"/>
        <v>La Niña</v>
      </c>
      <c r="H102">
        <v>-1.19</v>
      </c>
      <c r="I102">
        <v>-0.5</v>
      </c>
      <c r="J102">
        <f t="shared" si="7"/>
        <v>-0.15753780334788239</v>
      </c>
      <c r="K102">
        <v>10.8</v>
      </c>
      <c r="L102">
        <v>63.2</v>
      </c>
      <c r="M102">
        <v>1007.7</v>
      </c>
      <c r="N102">
        <v>5</v>
      </c>
      <c r="O102">
        <v>1</v>
      </c>
    </row>
    <row r="103" spans="1:15">
      <c r="A103">
        <v>2022</v>
      </c>
      <c r="B103" s="1">
        <f t="shared" si="4"/>
        <v>44713</v>
      </c>
      <c r="C103">
        <v>6</v>
      </c>
      <c r="D103" t="str">
        <f t="shared" si="5"/>
        <v>June</v>
      </c>
      <c r="E103">
        <v>1</v>
      </c>
      <c r="F103">
        <v>-1.32</v>
      </c>
      <c r="G103" t="str">
        <f t="shared" si="6"/>
        <v>La Niña</v>
      </c>
      <c r="H103">
        <v>-1.47</v>
      </c>
      <c r="I103">
        <v>-0.03</v>
      </c>
      <c r="J103">
        <f t="shared" si="7"/>
        <v>-0.19410338397284249</v>
      </c>
      <c r="K103">
        <v>8.5</v>
      </c>
      <c r="L103">
        <v>75.7</v>
      </c>
      <c r="M103">
        <v>1004.5</v>
      </c>
      <c r="N103">
        <v>6</v>
      </c>
      <c r="O103">
        <v>1</v>
      </c>
    </row>
    <row r="104" spans="1:15">
      <c r="A104">
        <v>2022</v>
      </c>
      <c r="B104" s="1">
        <f t="shared" si="4"/>
        <v>44743</v>
      </c>
      <c r="C104">
        <v>7</v>
      </c>
      <c r="D104" t="str">
        <f t="shared" si="5"/>
        <v>July</v>
      </c>
      <c r="E104">
        <v>5</v>
      </c>
      <c r="F104">
        <v>-1.1000000000000001</v>
      </c>
      <c r="G104" t="str">
        <f t="shared" si="6"/>
        <v>La Niña</v>
      </c>
      <c r="H104">
        <v>-1.1100000000000001</v>
      </c>
      <c r="I104">
        <v>0.13</v>
      </c>
      <c r="J104">
        <f t="shared" si="7"/>
        <v>-0.20074753940958159</v>
      </c>
      <c r="K104">
        <v>7.6</v>
      </c>
      <c r="L104">
        <v>75.099999999999994</v>
      </c>
      <c r="M104">
        <v>1005.7</v>
      </c>
      <c r="N104">
        <v>2</v>
      </c>
      <c r="O104">
        <v>1</v>
      </c>
    </row>
    <row r="105" spans="1:15">
      <c r="A105">
        <v>2022</v>
      </c>
      <c r="B105" s="1">
        <f t="shared" si="4"/>
        <v>44774</v>
      </c>
      <c r="C105">
        <v>8</v>
      </c>
      <c r="D105" t="str">
        <f t="shared" si="5"/>
        <v>August</v>
      </c>
      <c r="E105">
        <v>1</v>
      </c>
      <c r="F105">
        <v>-1.25</v>
      </c>
      <c r="G105" t="str">
        <f t="shared" si="6"/>
        <v>La Niña</v>
      </c>
      <c r="H105">
        <v>-1.27</v>
      </c>
      <c r="I105">
        <v>0.13</v>
      </c>
      <c r="J105">
        <f t="shared" si="7"/>
        <v>-0.21607202597482075</v>
      </c>
      <c r="K105">
        <v>8.1</v>
      </c>
      <c r="L105">
        <v>67.599999999999994</v>
      </c>
      <c r="M105">
        <v>1004.5</v>
      </c>
      <c r="N105">
        <v>5</v>
      </c>
      <c r="O105">
        <v>5</v>
      </c>
    </row>
    <row r="106" spans="1:15">
      <c r="A106">
        <v>2022</v>
      </c>
      <c r="B106" s="1">
        <f t="shared" si="4"/>
        <v>44805</v>
      </c>
      <c r="C106">
        <v>9</v>
      </c>
      <c r="D106" t="str">
        <f t="shared" si="5"/>
        <v>September</v>
      </c>
      <c r="E106">
        <v>2</v>
      </c>
      <c r="F106">
        <v>-1.17</v>
      </c>
      <c r="G106" t="str">
        <f t="shared" si="6"/>
        <v>La Niña</v>
      </c>
      <c r="H106">
        <v>-1.1399999999999999</v>
      </c>
      <c r="I106">
        <v>0.22</v>
      </c>
      <c r="J106">
        <f t="shared" si="7"/>
        <v>-0.21466426923399456</v>
      </c>
      <c r="K106">
        <v>7.5</v>
      </c>
      <c r="L106">
        <v>73</v>
      </c>
      <c r="M106">
        <v>1003.6</v>
      </c>
      <c r="N106">
        <v>2</v>
      </c>
      <c r="O106">
        <v>1</v>
      </c>
    </row>
    <row r="107" spans="1:15">
      <c r="A107">
        <v>2022</v>
      </c>
      <c r="B107" s="1">
        <f t="shared" si="4"/>
        <v>44835</v>
      </c>
      <c r="C107">
        <v>10</v>
      </c>
      <c r="D107" t="str">
        <f t="shared" si="5"/>
        <v>October</v>
      </c>
      <c r="E107">
        <v>1</v>
      </c>
      <c r="F107">
        <v>-1.28</v>
      </c>
      <c r="G107" t="str">
        <f t="shared" si="6"/>
        <v>La Niña</v>
      </c>
      <c r="H107">
        <v>-1.26</v>
      </c>
      <c r="I107">
        <v>0.17</v>
      </c>
      <c r="J107">
        <f t="shared" si="7"/>
        <v>-0.21657436276575229</v>
      </c>
      <c r="K107">
        <v>9.3000000000000007</v>
      </c>
      <c r="L107">
        <v>64</v>
      </c>
      <c r="M107">
        <v>1004.1</v>
      </c>
      <c r="N107">
        <v>4</v>
      </c>
      <c r="O107">
        <v>2</v>
      </c>
    </row>
    <row r="108" spans="1:15">
      <c r="A108">
        <v>2022</v>
      </c>
      <c r="B108" s="1">
        <f t="shared" si="4"/>
        <v>44866</v>
      </c>
      <c r="C108">
        <v>11</v>
      </c>
      <c r="D108" t="str">
        <f t="shared" si="5"/>
        <v>November</v>
      </c>
      <c r="E108">
        <v>1</v>
      </c>
      <c r="F108">
        <v>-1.04</v>
      </c>
      <c r="G108" t="str">
        <f t="shared" si="6"/>
        <v>La Niña</v>
      </c>
      <c r="H108">
        <v>-1.01</v>
      </c>
      <c r="I108">
        <v>0.36</v>
      </c>
      <c r="J108">
        <f t="shared" si="7"/>
        <v>-0.21310871399289841</v>
      </c>
      <c r="K108">
        <v>9.8000000000000007</v>
      </c>
      <c r="L108">
        <v>62.1</v>
      </c>
      <c r="M108">
        <v>1006.7</v>
      </c>
      <c r="N108">
        <v>7</v>
      </c>
      <c r="O108">
        <v>1</v>
      </c>
    </row>
    <row r="109" spans="1:15">
      <c r="A109">
        <v>2022</v>
      </c>
      <c r="B109" s="1">
        <f t="shared" si="4"/>
        <v>44896</v>
      </c>
      <c r="C109">
        <v>12</v>
      </c>
      <c r="D109" t="str">
        <f t="shared" si="5"/>
        <v>December</v>
      </c>
      <c r="E109">
        <v>0</v>
      </c>
      <c r="F109">
        <v>-1.38</v>
      </c>
      <c r="G109" t="str">
        <f t="shared" si="6"/>
        <v>La Niña</v>
      </c>
      <c r="H109">
        <v>-1.37</v>
      </c>
      <c r="I109">
        <v>0.06</v>
      </c>
      <c r="J109">
        <f t="shared" si="7"/>
        <v>-0.20248687911060137</v>
      </c>
      <c r="K109">
        <v>12.7</v>
      </c>
      <c r="L109">
        <v>57.3</v>
      </c>
      <c r="M109">
        <v>1010.3</v>
      </c>
      <c r="N109">
        <v>1</v>
      </c>
      <c r="O109">
        <v>1</v>
      </c>
    </row>
    <row r="110" spans="1:15">
      <c r="A110">
        <v>2023</v>
      </c>
      <c r="B110" s="1">
        <f t="shared" si="4"/>
        <v>44927</v>
      </c>
      <c r="C110">
        <v>1</v>
      </c>
      <c r="D110" t="str">
        <f t="shared" si="5"/>
        <v>January</v>
      </c>
      <c r="E110">
        <v>2</v>
      </c>
      <c r="F110">
        <v>0.05</v>
      </c>
      <c r="G110" t="str">
        <f t="shared" si="6"/>
        <v>Neutral</v>
      </c>
      <c r="H110">
        <v>0.06</v>
      </c>
      <c r="I110">
        <v>-0.48</v>
      </c>
      <c r="J110">
        <f t="shared" si="7"/>
        <v>-0.20616923152144631</v>
      </c>
      <c r="K110">
        <v>13.1</v>
      </c>
      <c r="L110">
        <v>57.2</v>
      </c>
      <c r="M110">
        <v>1009.8</v>
      </c>
      <c r="N110">
        <v>5</v>
      </c>
      <c r="O110">
        <v>0</v>
      </c>
    </row>
    <row r="111" spans="1:15">
      <c r="A111">
        <v>2023</v>
      </c>
      <c r="B111" s="1">
        <f t="shared" si="4"/>
        <v>44958</v>
      </c>
      <c r="C111">
        <v>2</v>
      </c>
      <c r="D111" t="str">
        <f t="shared" si="5"/>
        <v>February</v>
      </c>
      <c r="E111">
        <v>0</v>
      </c>
      <c r="F111">
        <v>0.02</v>
      </c>
      <c r="G111" t="str">
        <f t="shared" si="6"/>
        <v>Neutral</v>
      </c>
      <c r="H111">
        <v>-0.03</v>
      </c>
      <c r="I111">
        <v>0.32</v>
      </c>
      <c r="J111">
        <f t="shared" si="7"/>
        <v>-0.21978547519356445</v>
      </c>
      <c r="K111">
        <v>12.7</v>
      </c>
      <c r="L111">
        <v>62</v>
      </c>
      <c r="M111">
        <v>1008.3</v>
      </c>
      <c r="N111">
        <v>6</v>
      </c>
      <c r="O111">
        <v>2</v>
      </c>
    </row>
    <row r="112" spans="1:15">
      <c r="A112">
        <v>2023</v>
      </c>
      <c r="B112" s="1">
        <f t="shared" si="4"/>
        <v>44986</v>
      </c>
      <c r="C112">
        <v>3</v>
      </c>
      <c r="D112" t="str">
        <f t="shared" si="5"/>
        <v>March</v>
      </c>
      <c r="E112">
        <v>0</v>
      </c>
      <c r="F112">
        <v>-0.1</v>
      </c>
      <c r="G112" t="str">
        <f t="shared" si="6"/>
        <v>Neutral</v>
      </c>
      <c r="H112">
        <v>-0.04</v>
      </c>
      <c r="I112">
        <v>-0.44</v>
      </c>
      <c r="J112">
        <f t="shared" si="7"/>
        <v>-0.19593507923772488</v>
      </c>
      <c r="K112">
        <v>12.9</v>
      </c>
      <c r="L112">
        <v>48.2</v>
      </c>
      <c r="M112">
        <v>1009.5</v>
      </c>
      <c r="N112">
        <v>8</v>
      </c>
      <c r="O112">
        <v>0</v>
      </c>
    </row>
    <row r="113" spans="1:15">
      <c r="A113">
        <v>2023</v>
      </c>
      <c r="B113" s="1">
        <f t="shared" si="4"/>
        <v>45017</v>
      </c>
      <c r="C113">
        <v>4</v>
      </c>
      <c r="D113" t="str">
        <f t="shared" si="5"/>
        <v>April</v>
      </c>
      <c r="E113">
        <v>0</v>
      </c>
      <c r="F113">
        <v>0.03</v>
      </c>
      <c r="G113" t="str">
        <f t="shared" si="6"/>
        <v>Neutral</v>
      </c>
      <c r="H113">
        <v>0.03</v>
      </c>
      <c r="I113">
        <v>0.06</v>
      </c>
      <c r="J113">
        <f t="shared" si="7"/>
        <v>-0.29212108858740982</v>
      </c>
      <c r="K113">
        <v>10.3</v>
      </c>
      <c r="L113">
        <v>55.8</v>
      </c>
      <c r="M113">
        <v>1008.4</v>
      </c>
      <c r="N113">
        <v>1</v>
      </c>
      <c r="O113">
        <v>0</v>
      </c>
    </row>
    <row r="114" spans="1:15">
      <c r="A114">
        <v>2023</v>
      </c>
      <c r="B114" s="1">
        <f t="shared" si="4"/>
        <v>45047</v>
      </c>
      <c r="C114">
        <v>5</v>
      </c>
      <c r="D114" t="str">
        <f t="shared" si="5"/>
        <v>May</v>
      </c>
      <c r="E114">
        <v>0</v>
      </c>
      <c r="F114">
        <v>7.0000000000000007E-2</v>
      </c>
      <c r="G114" t="str">
        <f t="shared" si="6"/>
        <v>Neutral</v>
      </c>
      <c r="H114">
        <v>0.05</v>
      </c>
      <c r="I114">
        <v>-0.03</v>
      </c>
      <c r="J114">
        <f t="shared" si="7"/>
        <v>-0.30597155685601879</v>
      </c>
      <c r="K114">
        <v>10.9</v>
      </c>
      <c r="L114">
        <v>57.3</v>
      </c>
      <c r="M114">
        <v>1007</v>
      </c>
      <c r="N114">
        <v>2</v>
      </c>
      <c r="O114">
        <v>0</v>
      </c>
    </row>
    <row r="115" spans="1:15">
      <c r="A115">
        <v>2023</v>
      </c>
      <c r="B115" s="1">
        <f t="shared" si="4"/>
        <v>45078</v>
      </c>
      <c r="C115">
        <v>6</v>
      </c>
      <c r="D115" t="str">
        <f t="shared" si="5"/>
        <v>June</v>
      </c>
      <c r="E115">
        <v>0</v>
      </c>
      <c r="F115">
        <v>0.09</v>
      </c>
      <c r="G115" t="str">
        <f t="shared" si="6"/>
        <v>Neutral</v>
      </c>
      <c r="H115">
        <v>0.05</v>
      </c>
      <c r="I115">
        <v>0.54</v>
      </c>
      <c r="J115">
        <f t="shared" si="7"/>
        <v>-0.33962038890966251</v>
      </c>
      <c r="K115">
        <v>8.6999999999999993</v>
      </c>
      <c r="L115">
        <v>70.099999999999994</v>
      </c>
      <c r="M115">
        <v>1006.1</v>
      </c>
      <c r="N115">
        <v>1</v>
      </c>
      <c r="O115">
        <v>0</v>
      </c>
    </row>
    <row r="116" spans="1:15">
      <c r="A116">
        <v>2023</v>
      </c>
      <c r="B116" s="1">
        <f t="shared" si="4"/>
        <v>45108</v>
      </c>
      <c r="C116">
        <v>7</v>
      </c>
      <c r="D116" t="str">
        <f t="shared" si="5"/>
        <v>July</v>
      </c>
      <c r="E116">
        <v>1</v>
      </c>
      <c r="F116">
        <v>0.12</v>
      </c>
      <c r="G116" t="str">
        <f t="shared" si="6"/>
        <v>Neutral</v>
      </c>
      <c r="H116">
        <v>0.05</v>
      </c>
      <c r="I116">
        <v>0.39</v>
      </c>
      <c r="J116">
        <f t="shared" si="7"/>
        <v>-0.28293124228792388</v>
      </c>
      <c r="K116">
        <v>8</v>
      </c>
      <c r="L116">
        <v>71.7</v>
      </c>
      <c r="M116">
        <v>1004.4</v>
      </c>
      <c r="N116">
        <v>2</v>
      </c>
      <c r="O116">
        <v>0</v>
      </c>
    </row>
    <row r="117" spans="1:15">
      <c r="A117">
        <v>2023</v>
      </c>
      <c r="B117" s="1">
        <f t="shared" si="4"/>
        <v>45139</v>
      </c>
      <c r="C117">
        <v>8</v>
      </c>
      <c r="D117" t="str">
        <f t="shared" si="5"/>
        <v>August</v>
      </c>
      <c r="E117">
        <v>2</v>
      </c>
      <c r="F117">
        <v>-0.04</v>
      </c>
      <c r="G117" t="str">
        <f t="shared" si="6"/>
        <v>Neutral</v>
      </c>
      <c r="H117">
        <v>-0.01</v>
      </c>
      <c r="I117">
        <v>0.53</v>
      </c>
      <c r="J117">
        <f t="shared" si="7"/>
        <v>-0.25397281337335764</v>
      </c>
      <c r="K117">
        <v>8.3000000000000007</v>
      </c>
      <c r="L117">
        <v>69.5</v>
      </c>
      <c r="M117">
        <v>1003.1</v>
      </c>
      <c r="N117">
        <v>2</v>
      </c>
      <c r="O117">
        <v>1</v>
      </c>
    </row>
    <row r="118" spans="1:15">
      <c r="A118">
        <v>2023</v>
      </c>
      <c r="B118" s="1">
        <f t="shared" si="4"/>
        <v>45170</v>
      </c>
      <c r="C118">
        <v>9</v>
      </c>
      <c r="D118" t="str">
        <f t="shared" si="5"/>
        <v>September</v>
      </c>
      <c r="E118">
        <v>5</v>
      </c>
      <c r="F118">
        <v>0.01</v>
      </c>
      <c r="G118" t="str">
        <f t="shared" si="6"/>
        <v>Neutral</v>
      </c>
      <c r="H118">
        <v>0.05</v>
      </c>
      <c r="I118">
        <v>0.27</v>
      </c>
      <c r="J118">
        <f t="shared" si="7"/>
        <v>-0.24609858811430146</v>
      </c>
      <c r="K118">
        <v>8.1</v>
      </c>
      <c r="L118">
        <v>65.2</v>
      </c>
      <c r="M118">
        <v>1004.3</v>
      </c>
      <c r="N118">
        <v>4</v>
      </c>
      <c r="O118">
        <v>2</v>
      </c>
    </row>
    <row r="119" spans="1:15">
      <c r="A119">
        <v>2023</v>
      </c>
      <c r="B119" s="1">
        <f t="shared" si="4"/>
        <v>45200</v>
      </c>
      <c r="C119">
        <v>10</v>
      </c>
      <c r="D119" t="str">
        <f t="shared" si="5"/>
        <v>October</v>
      </c>
      <c r="E119">
        <v>2</v>
      </c>
      <c r="F119">
        <v>0.17</v>
      </c>
      <c r="G119" t="str">
        <f t="shared" si="6"/>
        <v>Neutral</v>
      </c>
      <c r="H119">
        <v>0.2</v>
      </c>
      <c r="I119">
        <v>-0.11</v>
      </c>
      <c r="J119">
        <f t="shared" si="7"/>
        <v>-0.31345314364643728</v>
      </c>
      <c r="K119">
        <v>9.3000000000000007</v>
      </c>
      <c r="L119">
        <v>60.9</v>
      </c>
      <c r="M119">
        <v>1005.1</v>
      </c>
      <c r="N119">
        <v>3</v>
      </c>
      <c r="O119">
        <v>5</v>
      </c>
    </row>
    <row r="120" spans="1:15">
      <c r="A120">
        <v>2023</v>
      </c>
      <c r="B120" s="1">
        <f t="shared" si="4"/>
        <v>45231</v>
      </c>
      <c r="C120">
        <v>11</v>
      </c>
      <c r="D120" t="str">
        <f t="shared" si="5"/>
        <v>November</v>
      </c>
      <c r="E120">
        <v>2</v>
      </c>
      <c r="F120">
        <v>0</v>
      </c>
      <c r="G120" t="str">
        <f t="shared" si="6"/>
        <v>Neutral</v>
      </c>
      <c r="H120">
        <v>-0.16</v>
      </c>
      <c r="I120">
        <v>-0.36</v>
      </c>
      <c r="J120">
        <f t="shared" si="7"/>
        <v>-0.32370565800761214</v>
      </c>
      <c r="K120">
        <v>10</v>
      </c>
      <c r="L120">
        <v>67.5</v>
      </c>
      <c r="M120">
        <v>1007.5</v>
      </c>
      <c r="N120">
        <v>5</v>
      </c>
      <c r="O120">
        <v>2</v>
      </c>
    </row>
    <row r="121" spans="1:15">
      <c r="A121">
        <v>2023</v>
      </c>
      <c r="B121" s="1">
        <f t="shared" si="4"/>
        <v>45261</v>
      </c>
      <c r="C121">
        <v>12</v>
      </c>
      <c r="D121" t="str">
        <f t="shared" si="5"/>
        <v>December</v>
      </c>
      <c r="E121">
        <v>1</v>
      </c>
      <c r="F121">
        <v>0.03</v>
      </c>
      <c r="G121" t="str">
        <f t="shared" si="6"/>
        <v>Neutral</v>
      </c>
      <c r="H121">
        <v>0.05</v>
      </c>
      <c r="I121">
        <v>0</v>
      </c>
      <c r="J121">
        <f t="shared" si="7"/>
        <v>-0.37224394677359862</v>
      </c>
      <c r="K121">
        <v>12.7</v>
      </c>
      <c r="L121">
        <v>51.9</v>
      </c>
      <c r="M121">
        <v>1010.2</v>
      </c>
      <c r="N121">
        <v>8</v>
      </c>
      <c r="O121">
        <v>2</v>
      </c>
    </row>
    <row r="122" spans="1:15">
      <c r="A122">
        <v>2024</v>
      </c>
      <c r="B122" s="1">
        <f t="shared" si="4"/>
        <v>45292</v>
      </c>
      <c r="C122">
        <v>1</v>
      </c>
      <c r="D122" t="str">
        <f t="shared" si="5"/>
        <v>January</v>
      </c>
      <c r="E122">
        <v>0</v>
      </c>
      <c r="F122">
        <v>0.94</v>
      </c>
      <c r="G122" t="str">
        <f t="shared" si="6"/>
        <v>El Niño</v>
      </c>
      <c r="H122">
        <v>0.97</v>
      </c>
      <c r="I122">
        <v>0.16</v>
      </c>
      <c r="J122">
        <f t="shared" si="7"/>
        <v>-0.39132697973218639</v>
      </c>
      <c r="K122">
        <v>12.7</v>
      </c>
      <c r="L122">
        <v>55.8</v>
      </c>
      <c r="M122">
        <v>1010.7</v>
      </c>
      <c r="N122">
        <v>7</v>
      </c>
      <c r="O122">
        <v>1</v>
      </c>
    </row>
    <row r="123" spans="1:15">
      <c r="A123">
        <v>2024</v>
      </c>
      <c r="B123" s="1">
        <f t="shared" si="4"/>
        <v>45323</v>
      </c>
      <c r="C123">
        <v>2</v>
      </c>
      <c r="D123" t="str">
        <f t="shared" si="5"/>
        <v>February</v>
      </c>
      <c r="E123">
        <v>1</v>
      </c>
      <c r="F123">
        <v>0.96</v>
      </c>
      <c r="G123" t="str">
        <f t="shared" si="6"/>
        <v>El Niño</v>
      </c>
      <c r="H123">
        <v>0.94</v>
      </c>
      <c r="I123">
        <v>0.15</v>
      </c>
      <c r="J123">
        <f t="shared" si="7"/>
        <v>-0.38480997969604863</v>
      </c>
      <c r="K123">
        <v>12.1</v>
      </c>
      <c r="L123">
        <v>54.8</v>
      </c>
      <c r="M123">
        <v>1009</v>
      </c>
      <c r="N123">
        <v>6</v>
      </c>
      <c r="O123">
        <v>0</v>
      </c>
    </row>
    <row r="124" spans="1:15">
      <c r="A124">
        <v>2024</v>
      </c>
      <c r="B124" s="1">
        <f t="shared" si="4"/>
        <v>45352</v>
      </c>
      <c r="C124">
        <v>3</v>
      </c>
      <c r="D124" t="str">
        <f t="shared" si="5"/>
        <v>March</v>
      </c>
      <c r="E124">
        <v>1</v>
      </c>
      <c r="F124">
        <v>0.87</v>
      </c>
      <c r="G124" t="str">
        <f t="shared" si="6"/>
        <v>El Niño</v>
      </c>
      <c r="H124">
        <v>0.77</v>
      </c>
      <c r="I124">
        <v>0.53</v>
      </c>
      <c r="J124">
        <f t="shared" si="7"/>
        <v>-0.37636094173304374</v>
      </c>
      <c r="K124">
        <v>12.6</v>
      </c>
      <c r="L124">
        <v>51.8</v>
      </c>
      <c r="M124">
        <v>1009.4</v>
      </c>
      <c r="N124">
        <v>0</v>
      </c>
      <c r="O124">
        <v>1</v>
      </c>
    </row>
    <row r="125" spans="1:15">
      <c r="A125">
        <v>2024</v>
      </c>
      <c r="B125" s="1">
        <f t="shared" si="4"/>
        <v>45383</v>
      </c>
      <c r="C125">
        <v>4</v>
      </c>
      <c r="D125" t="str">
        <f t="shared" si="5"/>
        <v>April</v>
      </c>
      <c r="E125">
        <v>0</v>
      </c>
      <c r="F125">
        <v>1.06</v>
      </c>
      <c r="G125" t="str">
        <f t="shared" si="6"/>
        <v>El Niño</v>
      </c>
      <c r="H125">
        <v>1.05</v>
      </c>
      <c r="I125">
        <v>-0.15</v>
      </c>
      <c r="J125">
        <f t="shared" si="7"/>
        <v>-0.2871110013968593</v>
      </c>
      <c r="K125">
        <v>10.3</v>
      </c>
      <c r="L125">
        <v>63.2</v>
      </c>
      <c r="M125">
        <v>1007.7</v>
      </c>
      <c r="N125">
        <v>2</v>
      </c>
      <c r="O125">
        <v>1</v>
      </c>
    </row>
    <row r="126" spans="1:15">
      <c r="A126">
        <v>2024</v>
      </c>
      <c r="B126" s="1">
        <f t="shared" si="4"/>
        <v>45413</v>
      </c>
      <c r="C126">
        <v>5</v>
      </c>
      <c r="D126" t="str">
        <f t="shared" si="5"/>
        <v>May</v>
      </c>
      <c r="E126">
        <v>1</v>
      </c>
      <c r="F126">
        <v>0.84</v>
      </c>
      <c r="G126" t="str">
        <f t="shared" si="6"/>
        <v>El Niño</v>
      </c>
      <c r="H126">
        <v>0.82</v>
      </c>
      <c r="I126">
        <v>-0.08</v>
      </c>
      <c r="J126">
        <f t="shared" si="7"/>
        <v>-0.41935070907503136</v>
      </c>
      <c r="K126">
        <v>11.3</v>
      </c>
      <c r="L126">
        <v>61.7</v>
      </c>
      <c r="M126">
        <v>1007.4</v>
      </c>
      <c r="N126">
        <v>8</v>
      </c>
      <c r="O126">
        <v>0</v>
      </c>
    </row>
    <row r="127" spans="1:15">
      <c r="A127">
        <v>2024</v>
      </c>
      <c r="B127" s="1">
        <f t="shared" si="4"/>
        <v>45444</v>
      </c>
      <c r="C127">
        <v>6</v>
      </c>
      <c r="D127" t="str">
        <f t="shared" si="5"/>
        <v>June</v>
      </c>
      <c r="E127">
        <v>5</v>
      </c>
      <c r="F127">
        <v>1.04</v>
      </c>
      <c r="G127" t="str">
        <f t="shared" si="6"/>
        <v>El Niño</v>
      </c>
      <c r="H127">
        <v>1</v>
      </c>
      <c r="I127">
        <v>-0.38</v>
      </c>
      <c r="J127">
        <f t="shared" si="7"/>
        <v>-0.52667457513167237</v>
      </c>
      <c r="K127">
        <v>7.8</v>
      </c>
      <c r="L127">
        <v>69.3</v>
      </c>
      <c r="M127">
        <v>1004.3</v>
      </c>
      <c r="N127">
        <v>6</v>
      </c>
      <c r="O127">
        <v>1</v>
      </c>
    </row>
    <row r="128" spans="1:15">
      <c r="A128">
        <v>2024</v>
      </c>
      <c r="B128" s="1">
        <f t="shared" si="4"/>
        <v>45474</v>
      </c>
      <c r="C128">
        <v>7</v>
      </c>
      <c r="D128" t="str">
        <f t="shared" si="5"/>
        <v>July</v>
      </c>
      <c r="E128">
        <v>8</v>
      </c>
      <c r="F128">
        <v>0.89</v>
      </c>
      <c r="G128" t="str">
        <f t="shared" si="6"/>
        <v>El Niño</v>
      </c>
      <c r="H128">
        <v>0.92</v>
      </c>
      <c r="I128">
        <v>-0.02</v>
      </c>
      <c r="J128">
        <f t="shared" si="7"/>
        <v>-0.53899748608380493</v>
      </c>
      <c r="K128">
        <v>7.9</v>
      </c>
      <c r="L128">
        <v>68.8</v>
      </c>
      <c r="M128">
        <v>1003.3</v>
      </c>
      <c r="N128">
        <v>5</v>
      </c>
      <c r="O128">
        <v>5</v>
      </c>
    </row>
    <row r="129" spans="1:15">
      <c r="A129">
        <v>2024</v>
      </c>
      <c r="B129" s="1">
        <f t="shared" si="4"/>
        <v>45505</v>
      </c>
      <c r="C129">
        <v>8</v>
      </c>
      <c r="D129" t="str">
        <f t="shared" si="5"/>
        <v>August</v>
      </c>
      <c r="E129">
        <v>7</v>
      </c>
      <c r="F129">
        <v>0.95</v>
      </c>
      <c r="G129" t="str">
        <f t="shared" si="6"/>
        <v>El Niño</v>
      </c>
      <c r="H129">
        <v>0.91</v>
      </c>
      <c r="I129">
        <v>-0.24</v>
      </c>
      <c r="J129">
        <f t="shared" si="7"/>
        <v>-0.5849472103581238</v>
      </c>
      <c r="K129">
        <v>7.6</v>
      </c>
      <c r="L129">
        <v>65.7</v>
      </c>
      <c r="M129">
        <v>1005.3</v>
      </c>
      <c r="N129">
        <v>0</v>
      </c>
      <c r="O129">
        <v>8</v>
      </c>
    </row>
    <row r="130" spans="1:15">
      <c r="A130">
        <v>2024</v>
      </c>
      <c r="B130" s="1">
        <f t="shared" si="4"/>
        <v>45536</v>
      </c>
      <c r="C130">
        <v>9</v>
      </c>
      <c r="D130" t="str">
        <f t="shared" si="5"/>
        <v>September</v>
      </c>
      <c r="E130">
        <v>3</v>
      </c>
      <c r="F130">
        <v>0.96</v>
      </c>
      <c r="G130" t="str">
        <f t="shared" si="6"/>
        <v>El Niño</v>
      </c>
      <c r="H130">
        <v>0.93</v>
      </c>
      <c r="I130">
        <v>-0.35</v>
      </c>
      <c r="J130">
        <f t="shared" si="7"/>
        <v>-0.3108733995019613</v>
      </c>
      <c r="K130">
        <v>8.9</v>
      </c>
      <c r="L130">
        <v>73.900000000000006</v>
      </c>
      <c r="M130">
        <v>1005</v>
      </c>
      <c r="N130">
        <v>2</v>
      </c>
      <c r="O130">
        <v>7</v>
      </c>
    </row>
    <row r="131" spans="1:15">
      <c r="A131">
        <v>2024</v>
      </c>
      <c r="B131" s="1">
        <f t="shared" ref="B131:B133" si="8">DATE(A131,C131,1)</f>
        <v>45566</v>
      </c>
      <c r="C131">
        <v>10</v>
      </c>
      <c r="D131" t="str">
        <f t="shared" ref="D131:D133" si="9">TEXT(DATE(A131,C131,1), "mmmm")</f>
        <v>October</v>
      </c>
      <c r="E131">
        <v>2</v>
      </c>
      <c r="F131">
        <v>0.99</v>
      </c>
      <c r="G131" t="str">
        <f t="shared" ref="G131:G133" si="10">IF(F131&gt;=0.5, "El Niño", IF(F131&lt;=-0.5, "La Niña", "Neutral"))</f>
        <v>El Niño</v>
      </c>
      <c r="H131">
        <v>0.94</v>
      </c>
      <c r="I131">
        <v>0.31</v>
      </c>
      <c r="J131">
        <f t="shared" ref="J131:J133" si="11">IFERROR(CORREL(I131:I262, E131:E262), "N/A")</f>
        <v>-0.29847618621504846</v>
      </c>
      <c r="K131">
        <v>9.1</v>
      </c>
      <c r="L131">
        <v>59.2</v>
      </c>
      <c r="M131">
        <v>1005.7</v>
      </c>
      <c r="N131">
        <v>6</v>
      </c>
      <c r="O131">
        <v>3</v>
      </c>
    </row>
    <row r="132" spans="1:15">
      <c r="A132">
        <v>2024</v>
      </c>
      <c r="B132" s="1">
        <f t="shared" si="8"/>
        <v>45597</v>
      </c>
      <c r="C132">
        <v>11</v>
      </c>
      <c r="D132" t="str">
        <f t="shared" si="9"/>
        <v>November</v>
      </c>
      <c r="E132">
        <v>4</v>
      </c>
      <c r="F132">
        <v>1.06</v>
      </c>
      <c r="G132" t="str">
        <f t="shared" si="10"/>
        <v>El Niño</v>
      </c>
      <c r="H132">
        <v>1.02</v>
      </c>
      <c r="I132">
        <v>0.41</v>
      </c>
      <c r="J132">
        <f t="shared" si="11"/>
        <v>-1</v>
      </c>
      <c r="K132">
        <v>9.6999999999999993</v>
      </c>
      <c r="L132">
        <v>62.2</v>
      </c>
      <c r="M132">
        <v>1008.4</v>
      </c>
      <c r="N132">
        <v>5</v>
      </c>
      <c r="O132">
        <v>2</v>
      </c>
    </row>
    <row r="133" spans="1:15">
      <c r="A133">
        <v>2024</v>
      </c>
      <c r="B133" s="1">
        <f t="shared" si="8"/>
        <v>45627</v>
      </c>
      <c r="C133">
        <v>12</v>
      </c>
      <c r="D133" t="str">
        <f t="shared" si="9"/>
        <v>December</v>
      </c>
      <c r="E133">
        <v>1</v>
      </c>
      <c r="F133">
        <v>1.0900000000000001</v>
      </c>
      <c r="G133" t="str">
        <f t="shared" si="10"/>
        <v>El Niño</v>
      </c>
      <c r="H133">
        <v>1.0900000000000001</v>
      </c>
      <c r="I133">
        <v>0.5</v>
      </c>
      <c r="J133" t="str">
        <f t="shared" si="11"/>
        <v>N/A</v>
      </c>
      <c r="K133">
        <v>12.5</v>
      </c>
      <c r="L133">
        <v>57.8</v>
      </c>
      <c r="M133">
        <v>1009.3</v>
      </c>
      <c r="N133">
        <v>3</v>
      </c>
      <c r="O13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7243-4498-4A43-B4C6-F9808FCE01EC}">
  <dimension ref="A1:D49"/>
  <sheetViews>
    <sheetView workbookViewId="0">
      <selection activeCell="J2" sqref="J2"/>
    </sheetView>
  </sheetViews>
  <sheetFormatPr defaultRowHeight="15"/>
  <cols>
    <col min="1" max="1" width="16.85546875" bestFit="1" customWidth="1"/>
    <col min="2" max="2" width="31.85546875" bestFit="1" customWidth="1"/>
    <col min="3" max="3" width="28.85546875" bestFit="1" customWidth="1"/>
    <col min="4" max="4" width="27.28515625" bestFit="1" customWidth="1"/>
    <col min="5" max="8" width="5.85546875" bestFit="1" customWidth="1"/>
    <col min="9" max="9" width="4.85546875" bestFit="1" customWidth="1"/>
    <col min="10" max="15" width="5.85546875" bestFit="1" customWidth="1"/>
    <col min="16" max="16" width="2.85546875" bestFit="1" customWidth="1"/>
    <col min="17" max="28" width="5.85546875" bestFit="1" customWidth="1"/>
    <col min="29" max="29" width="4.85546875" bestFit="1" customWidth="1"/>
    <col min="30" max="33" width="5.85546875" bestFit="1" customWidth="1"/>
    <col min="34" max="34" width="4.85546875" bestFit="1" customWidth="1"/>
    <col min="35" max="39" width="5.85546875" bestFit="1" customWidth="1"/>
    <col min="40" max="40" width="4.85546875" bestFit="1" customWidth="1"/>
    <col min="41" max="43" width="5.85546875" bestFit="1" customWidth="1"/>
    <col min="44" max="44" width="4.85546875" bestFit="1" customWidth="1"/>
    <col min="45" max="47" width="5.85546875" bestFit="1" customWidth="1"/>
    <col min="48" max="48" width="4.85546875" bestFit="1" customWidth="1"/>
    <col min="49" max="53" width="5.85546875" bestFit="1" customWidth="1"/>
    <col min="54" max="54" width="2.28515625" bestFit="1" customWidth="1"/>
    <col min="55" max="67" width="5.140625" bestFit="1" customWidth="1"/>
    <col min="68" max="68" width="4.140625" bestFit="1" customWidth="1"/>
    <col min="69" max="75" width="5.140625" bestFit="1" customWidth="1"/>
    <col min="76" max="76" width="4.140625" bestFit="1" customWidth="1"/>
    <col min="77" max="91" width="5.140625" bestFit="1" customWidth="1"/>
    <col min="92" max="92" width="4.140625" bestFit="1" customWidth="1"/>
    <col min="93" max="99" width="5.140625" bestFit="1" customWidth="1"/>
    <col min="100" max="100" width="11.7109375" bestFit="1" customWidth="1"/>
  </cols>
  <sheetData>
    <row r="1" spans="1:2">
      <c r="A1" s="2" t="s">
        <v>2</v>
      </c>
      <c r="B1" t="s">
        <v>15</v>
      </c>
    </row>
    <row r="2" spans="1:2">
      <c r="A2">
        <v>7</v>
      </c>
      <c r="B2" s="3">
        <v>5</v>
      </c>
    </row>
    <row r="3" spans="1:2">
      <c r="A3" t="s">
        <v>16</v>
      </c>
      <c r="B3" s="3">
        <v>5</v>
      </c>
    </row>
    <row r="18" spans="1:2">
      <c r="A18" s="2" t="s">
        <v>6</v>
      </c>
      <c r="B18" t="s">
        <v>17</v>
      </c>
    </row>
    <row r="19" spans="1:2">
      <c r="A19" t="s">
        <v>18</v>
      </c>
      <c r="B19" s="4">
        <v>5</v>
      </c>
    </row>
    <row r="20" spans="1:2">
      <c r="A20" t="s">
        <v>16</v>
      </c>
      <c r="B20" s="4">
        <v>5</v>
      </c>
    </row>
    <row r="47" spans="1:4">
      <c r="A47" s="2" t="s">
        <v>6</v>
      </c>
      <c r="B47" t="s">
        <v>17</v>
      </c>
      <c r="C47" t="s">
        <v>19</v>
      </c>
      <c r="D47" t="s">
        <v>20</v>
      </c>
    </row>
    <row r="48" spans="1:4">
      <c r="A48" t="s">
        <v>18</v>
      </c>
      <c r="B48" s="4">
        <v>5</v>
      </c>
      <c r="C48" s="4">
        <v>75.099999999999994</v>
      </c>
      <c r="D48" s="4">
        <v>1005.7</v>
      </c>
    </row>
    <row r="49" spans="1:4">
      <c r="A49" t="s">
        <v>16</v>
      </c>
      <c r="B49" s="4">
        <v>5</v>
      </c>
      <c r="C49" s="4">
        <v>75.099999999999994</v>
      </c>
      <c r="D49" s="4">
        <v>1005.7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DF03-45AB-475D-8F43-BFD903FACEF1}">
  <dimension ref="A1:O4"/>
  <sheetViews>
    <sheetView tabSelected="1" topLeftCell="A5" workbookViewId="0">
      <selection activeCell="D40" sqref="D40"/>
    </sheetView>
  </sheetViews>
  <sheetFormatPr defaultRowHeight="15"/>
  <cols>
    <col min="1" max="1" width="113.42578125" style="8" customWidth="1"/>
    <col min="2" max="16384" width="9.140625" style="8"/>
  </cols>
  <sheetData>
    <row r="1" spans="1:15" ht="15" customHeight="1">
      <c r="A1" s="11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7"/>
      <c r="N1" s="7"/>
      <c r="O1" s="7"/>
    </row>
    <row r="2" spans="1:15" ht="15" customHeight="1">
      <c r="A2" s="11"/>
      <c r="B2" s="6"/>
      <c r="C2" s="6"/>
      <c r="D2" s="9"/>
      <c r="E2" s="6"/>
      <c r="F2" s="6"/>
      <c r="G2" s="6"/>
      <c r="H2" s="6"/>
      <c r="I2" s="6"/>
      <c r="J2" s="6"/>
      <c r="K2" s="6"/>
      <c r="L2" s="6"/>
      <c r="M2" s="7"/>
      <c r="N2" s="7"/>
      <c r="O2" s="7"/>
    </row>
    <row r="3" spans="1:15" ht="15" customHeight="1">
      <c r="A3" s="10" t="s">
        <v>22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7"/>
      <c r="O3" s="7"/>
    </row>
    <row r="4" spans="1:15" ht="15" customHeight="1">
      <c r="A4" s="12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7"/>
      <c r="O4" s="7"/>
    </row>
  </sheetData>
  <mergeCells count="1">
    <mergeCell ref="A1:A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Engelene Anuran</cp:lastModifiedBy>
  <cp:revision/>
  <dcterms:created xsi:type="dcterms:W3CDTF">2026-05-03T10:07:36Z</dcterms:created>
  <dcterms:modified xsi:type="dcterms:W3CDTF">2026-05-03T14:26:23Z</dcterms:modified>
  <cp:category/>
  <cp:contentStatus/>
</cp:coreProperties>
</file>